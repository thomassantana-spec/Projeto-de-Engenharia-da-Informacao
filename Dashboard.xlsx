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carc\OneDrive\Documentos\Trabalho Engenharia da Informação - Paçoca\"/>
    </mc:Choice>
  </mc:AlternateContent>
  <xr:revisionPtr revIDLastSave="0" documentId="13_ncr:1_{A37746CA-A315-490A-803C-3E8B47143B45}" xr6:coauthVersionLast="47" xr6:coauthVersionMax="47" xr10:uidLastSave="{00000000-0000-0000-0000-000000000000}"/>
  <bookViews>
    <workbookView xWindow="18270" yWindow="0" windowWidth="20235" windowHeight="20985" activeTab="4" xr2:uid="{F69C6ACA-0C66-44BA-BA46-509C97E9387C}"/>
  </bookViews>
  <sheets>
    <sheet name="GR_MP" sheetId="6" r:id="rId1"/>
    <sheet name="GR_REC" sheetId="10" r:id="rId2"/>
    <sheet name="GR_EMB" sheetId="9" r:id="rId3"/>
    <sheet name="LOTES_MP" sheetId="2" r:id="rId4"/>
    <sheet name="COMPOSICAO_RECEITA" sheetId="3" r:id="rId5"/>
    <sheet name="LOTES_EMBALADOS" sheetId="1" r:id="rId6"/>
    <sheet name="DASHBOARD" sheetId="4" r:id="rId7"/>
  </sheets>
  <definedNames>
    <definedName name="SegmentaçãodeDados_Destino_Mercado">#N/A</definedName>
  </definedNames>
  <calcPr calcId="191029"/>
  <pivotCaches>
    <pivotCache cacheId="177" r:id="rId8"/>
    <pivotCache cacheId="166" r:id="rId9"/>
    <pivotCache cacheId="175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2" l="1"/>
  <c r="H15" i="2"/>
  <c r="H14" i="2"/>
  <c r="H13" i="2"/>
  <c r="H12" i="2"/>
  <c r="H11" i="2"/>
  <c r="H10" i="2"/>
  <c r="H9" i="2"/>
  <c r="H8" i="2"/>
  <c r="H7" i="2"/>
  <c r="H3" i="2"/>
  <c r="H4" i="2"/>
  <c r="H5" i="2"/>
  <c r="H6" i="2"/>
  <c r="H2" i="2"/>
</calcChain>
</file>

<file path=xl/sharedStrings.xml><?xml version="1.0" encoding="utf-8"?>
<sst xmlns="http://schemas.openxmlformats.org/spreadsheetml/2006/main" count="183" uniqueCount="77">
  <si>
    <t>ID_Lote_MP</t>
  </si>
  <si>
    <t>Data_Hora_Recebimento</t>
  </si>
  <si>
    <t>Peso_Bruto_Toneladas</t>
  </si>
  <si>
    <t>Percentual_Umidade_Inicial</t>
  </si>
  <si>
    <t>Indice_Acidez_Oleico</t>
  </si>
  <si>
    <t>MP-2026-041</t>
  </si>
  <si>
    <t>Aprovado</t>
  </si>
  <si>
    <t>MP-2026-042</t>
  </si>
  <si>
    <t>Reprovado</t>
  </si>
  <si>
    <t>MP-2026-043</t>
  </si>
  <si>
    <t>MP-2026-044</t>
  </si>
  <si>
    <t>MP-2026-045</t>
  </si>
  <si>
    <t>ID_Receita</t>
  </si>
  <si>
    <t>Formato_Produto</t>
  </si>
  <si>
    <t>Quantidade_Amendoim_Kg</t>
  </si>
  <si>
    <t>Quantidade_Acucar_Kg</t>
  </si>
  <si>
    <t>Quantidade_Sal_Kg</t>
  </si>
  <si>
    <t>Tempo_Mistura_Minutos</t>
  </si>
  <si>
    <t>REC-01</t>
  </si>
  <si>
    <t>Rolha</t>
  </si>
  <si>
    <t>REC-02</t>
  </si>
  <si>
    <t>Quadrada</t>
  </si>
  <si>
    <t>REC-03</t>
  </si>
  <si>
    <t>REC-04</t>
  </si>
  <si>
    <t>REC-05</t>
  </si>
  <si>
    <t>REC-06</t>
  </si>
  <si>
    <t>ID_Registro_Embalagem</t>
  </si>
  <si>
    <t>Variacao_Produto_SKU</t>
  </si>
  <si>
    <t>Data_Hora_Embalagem</t>
  </si>
  <si>
    <t>Contagem_Boas_Embaladas</t>
  </si>
  <si>
    <t>Quantidade_Caixas_Fechadas</t>
  </si>
  <si>
    <t>Destino_Mercado</t>
  </si>
  <si>
    <t>EMB-6101</t>
  </si>
  <si>
    <t>Nacional</t>
  </si>
  <si>
    <t>EMB-6102</t>
  </si>
  <si>
    <t>Exportacao</t>
  </si>
  <si>
    <t>EMB-6103</t>
  </si>
  <si>
    <t>EMB-6104</t>
  </si>
  <si>
    <t>EMB-6105</t>
  </si>
  <si>
    <t>EMB-6106</t>
  </si>
  <si>
    <t>Rótulos de Linha</t>
  </si>
  <si>
    <t>Total Geral</t>
  </si>
  <si>
    <t>Soma de Contagem_Boas_Embaladas</t>
  </si>
  <si>
    <t>Média de Percentual_Umidade_Inicial</t>
  </si>
  <si>
    <t>Média de Indice_Acidez_Oleico</t>
  </si>
  <si>
    <t>Status_Analise_Química</t>
  </si>
  <si>
    <t>Rolha_Tradicional</t>
  </si>
  <si>
    <t>Quadrada_Tradicional</t>
  </si>
  <si>
    <t>Quantidade_Prensadas_Aprovadas</t>
  </si>
  <si>
    <t>Quantidade_Prensadas_Reprovadas</t>
  </si>
  <si>
    <t>Qtd_Rejeitada_Inspeção_Kg</t>
  </si>
  <si>
    <t>Rejeitadas_Detector_Metais</t>
  </si>
  <si>
    <t>Qtd_Aprovada_Producao</t>
  </si>
  <si>
    <t>Rótulos de Coluna</t>
  </si>
  <si>
    <t>Soma de Qtd_Rejeitada_Inspeção_Kg</t>
  </si>
  <si>
    <t>Soma de Qtd_Aprovada_Producao</t>
  </si>
  <si>
    <t>Soma de Quantidade_Caixas_Fechadas</t>
  </si>
  <si>
    <t>Soma de Quantidade_Amendoim_Kg</t>
  </si>
  <si>
    <t>Soma de Quantidade_Acucar_Kg</t>
  </si>
  <si>
    <t>Soma de Quantidade_Sal_Kg</t>
  </si>
  <si>
    <t>Soma de Quantidade_Prensadas_Aprovadas</t>
  </si>
  <si>
    <t>Soma de Quantidade_Prensadas_Reprovadas</t>
  </si>
  <si>
    <t>Status_Despacho</t>
  </si>
  <si>
    <t>Enviado</t>
  </si>
  <si>
    <t>Aguardando envio</t>
  </si>
  <si>
    <t>Soma de Rejeitadas_Detector_Metais</t>
  </si>
  <si>
    <t>MP-2026-046</t>
  </si>
  <si>
    <t>MP-2026-047</t>
  </si>
  <si>
    <t>MP-2026-048</t>
  </si>
  <si>
    <t>MP-2026-049</t>
  </si>
  <si>
    <t>MP-2026-050</t>
  </si>
  <si>
    <t>MP-2026-051</t>
  </si>
  <si>
    <t>MP-2026-052</t>
  </si>
  <si>
    <t>MP-2026-053</t>
  </si>
  <si>
    <t>MP-2026-054</t>
  </si>
  <si>
    <t>MP-2026-055</t>
  </si>
  <si>
    <t>Contagem de ID_Lote_MP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</si>
</sst>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%"/>
    <numFmt numFmtId="170" formatCode="0.000"/>
    <numFmt numFmtId="171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9" fontId="0" fillId="0" borderId="0" xfId="1" applyFont="1"/>
    <xf numFmtId="168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0" fontId="0" fillId="0" borderId="0" xfId="0" applyNumberFormat="1"/>
    <xf numFmtId="170" fontId="0" fillId="0" borderId="0" xfId="1" applyNumberFormat="1" applyFont="1"/>
    <xf numFmtId="171" fontId="0" fillId="0" borderId="0" xfId="1" applyNumberFormat="1" applyFont="1"/>
    <xf numFmtId="1" fontId="0" fillId="0" borderId="0" xfId="0" applyNumberFormat="1" applyAlignment="1">
      <alignment wrapText="1"/>
    </xf>
    <xf numFmtId="1" fontId="0" fillId="0" borderId="0" xfId="0" applyNumberFormat="1"/>
  </cellXfs>
  <cellStyles count="2">
    <cellStyle name="Normal" xfId="0" builtinId="0"/>
    <cellStyle name="Porcentagem" xfId="1" builtinId="5"/>
  </cellStyles>
  <dxfs count="14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70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0.000%"/>
    </dxf>
    <dxf>
      <numFmt numFmtId="170" formatCode="0.000"/>
    </dxf>
    <dxf>
      <numFmt numFmtId="170" formatCode="0.000"/>
    </dxf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0.0%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[Dashboard.xlsx]DASHBOARD!Tabela dinâmica3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Média de Percentual_Umidade_Inicial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DASHBOARD!$A$2:$A$17</c:f>
              <c:strCache>
                <c:ptCount val="15"/>
                <c:pt idx="0">
                  <c:v>MP-2026-041</c:v>
                </c:pt>
                <c:pt idx="1">
                  <c:v>MP-2026-042</c:v>
                </c:pt>
                <c:pt idx="2">
                  <c:v>MP-2026-043</c:v>
                </c:pt>
                <c:pt idx="3">
                  <c:v>MP-2026-044</c:v>
                </c:pt>
                <c:pt idx="4">
                  <c:v>MP-2026-045</c:v>
                </c:pt>
                <c:pt idx="5">
                  <c:v>MP-2026-046</c:v>
                </c:pt>
                <c:pt idx="6">
                  <c:v>MP-2026-047</c:v>
                </c:pt>
                <c:pt idx="7">
                  <c:v>MP-2026-048</c:v>
                </c:pt>
                <c:pt idx="8">
                  <c:v>MP-2026-049</c:v>
                </c:pt>
                <c:pt idx="9">
                  <c:v>MP-2026-050</c:v>
                </c:pt>
                <c:pt idx="10">
                  <c:v>MP-2026-051</c:v>
                </c:pt>
                <c:pt idx="11">
                  <c:v>MP-2026-052</c:v>
                </c:pt>
                <c:pt idx="12">
                  <c:v>MP-2026-053</c:v>
                </c:pt>
                <c:pt idx="13">
                  <c:v>MP-2026-054</c:v>
                </c:pt>
                <c:pt idx="14">
                  <c:v>MP-2026-055</c:v>
                </c:pt>
              </c:strCache>
            </c:strRef>
          </c:cat>
          <c:val>
            <c:numRef>
              <c:f>DASHBOARD!$B$2:$B$17</c:f>
              <c:numCache>
                <c:formatCode>General</c:formatCode>
                <c:ptCount val="15"/>
                <c:pt idx="0">
                  <c:v>6.2E-2</c:v>
                </c:pt>
                <c:pt idx="1">
                  <c:v>7.8E-2</c:v>
                </c:pt>
                <c:pt idx="2">
                  <c:v>5.8999999999999997E-2</c:v>
                </c:pt>
                <c:pt idx="3">
                  <c:v>6.5000000000000002E-2</c:v>
                </c:pt>
                <c:pt idx="4">
                  <c:v>7.0999999999999994E-2</c:v>
                </c:pt>
                <c:pt idx="5">
                  <c:v>6.2E-2</c:v>
                </c:pt>
                <c:pt idx="6">
                  <c:v>7.8E-2</c:v>
                </c:pt>
                <c:pt idx="7">
                  <c:v>5.8999999999999997E-2</c:v>
                </c:pt>
                <c:pt idx="8">
                  <c:v>6.5000000000000002E-2</c:v>
                </c:pt>
                <c:pt idx="9">
                  <c:v>7.0999999999999994E-2</c:v>
                </c:pt>
                <c:pt idx="10">
                  <c:v>6.2E-2</c:v>
                </c:pt>
                <c:pt idx="11">
                  <c:v>7.8E-2</c:v>
                </c:pt>
                <c:pt idx="12">
                  <c:v>5.8999999999999997E-2</c:v>
                </c:pt>
                <c:pt idx="13">
                  <c:v>6.5000000000000002E-2</c:v>
                </c:pt>
                <c:pt idx="14">
                  <c:v>7.0999999999999994E-2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B-4D13-A90F-2BDA8038A900}"/>
            </c:ext>
          </c:extLst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Média de Indice_Acidez_Oleico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DASHBOARD!$A$2:$A$17</c:f>
              <c:strCache>
                <c:ptCount val="15"/>
                <c:pt idx="0">
                  <c:v>MP-2026-041</c:v>
                </c:pt>
                <c:pt idx="1">
                  <c:v>MP-2026-042</c:v>
                </c:pt>
                <c:pt idx="2">
                  <c:v>MP-2026-043</c:v>
                </c:pt>
                <c:pt idx="3">
                  <c:v>MP-2026-044</c:v>
                </c:pt>
                <c:pt idx="4">
                  <c:v>MP-2026-045</c:v>
                </c:pt>
                <c:pt idx="5">
                  <c:v>MP-2026-046</c:v>
                </c:pt>
                <c:pt idx="6">
                  <c:v>MP-2026-047</c:v>
                </c:pt>
                <c:pt idx="7">
                  <c:v>MP-2026-048</c:v>
                </c:pt>
                <c:pt idx="8">
                  <c:v>MP-2026-049</c:v>
                </c:pt>
                <c:pt idx="9">
                  <c:v>MP-2026-050</c:v>
                </c:pt>
                <c:pt idx="10">
                  <c:v>MP-2026-051</c:v>
                </c:pt>
                <c:pt idx="11">
                  <c:v>MP-2026-052</c:v>
                </c:pt>
                <c:pt idx="12">
                  <c:v>MP-2026-053</c:v>
                </c:pt>
                <c:pt idx="13">
                  <c:v>MP-2026-054</c:v>
                </c:pt>
                <c:pt idx="14">
                  <c:v>MP-2026-055</c:v>
                </c:pt>
              </c:strCache>
            </c:strRef>
          </c:cat>
          <c:val>
            <c:numRef>
              <c:f>DASHBOARD!$C$2:$C$17</c:f>
              <c:numCache>
                <c:formatCode>General</c:formatCode>
                <c:ptCount val="15"/>
                <c:pt idx="0">
                  <c:v>1.0999999999999999E-2</c:v>
                </c:pt>
                <c:pt idx="1">
                  <c:v>2.1000000000000001E-2</c:v>
                </c:pt>
                <c:pt idx="2">
                  <c:v>8.9999999999999993E-3</c:v>
                </c:pt>
                <c:pt idx="3">
                  <c:v>1.2999999999999999E-2</c:v>
                </c:pt>
                <c:pt idx="4">
                  <c:v>1.7000000000000001E-2</c:v>
                </c:pt>
                <c:pt idx="5">
                  <c:v>1.0999999999999999E-2</c:v>
                </c:pt>
                <c:pt idx="6">
                  <c:v>2.1000000000000001E-2</c:v>
                </c:pt>
                <c:pt idx="7">
                  <c:v>8.9999999999999993E-3</c:v>
                </c:pt>
                <c:pt idx="8">
                  <c:v>1.2999999999999999E-2</c:v>
                </c:pt>
                <c:pt idx="9">
                  <c:v>1.7000000000000001E-2</c:v>
                </c:pt>
                <c:pt idx="10">
                  <c:v>1.0999999999999999E-2</c:v>
                </c:pt>
                <c:pt idx="11">
                  <c:v>2.1000000000000001E-2</c:v>
                </c:pt>
                <c:pt idx="12">
                  <c:v>8.9999999999999993E-3</c:v>
                </c:pt>
                <c:pt idx="13">
                  <c:v>1.2999999999999999E-2</c:v>
                </c:pt>
                <c:pt idx="14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B-4D13-A90F-2BDA8038A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42927"/>
        <c:axId val="177847247"/>
      </c:lineChart>
      <c:catAx>
        <c:axId val="17784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847247"/>
        <c:crosses val="autoZero"/>
        <c:auto val="1"/>
        <c:lblAlgn val="ctr"/>
        <c:lblOffset val="100"/>
        <c:noMultiLvlLbl val="0"/>
      </c:catAx>
      <c:valAx>
        <c:axId val="17784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84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[Dashboard.xlsx]DASHBOARD!Tabela dinâmica7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DASHBOARD!$F$1</c:f>
              <c:strCache>
                <c:ptCount val="1"/>
                <c:pt idx="0">
                  <c:v>Soma de Qtd_Aprovada_Producao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DASHBOARD!$E$2:$E$17</c:f>
              <c:strCache>
                <c:ptCount val="15"/>
                <c:pt idx="0">
                  <c:v>MP-2026-041</c:v>
                </c:pt>
                <c:pt idx="1">
                  <c:v>MP-2026-042</c:v>
                </c:pt>
                <c:pt idx="2">
                  <c:v>MP-2026-043</c:v>
                </c:pt>
                <c:pt idx="3">
                  <c:v>MP-2026-044</c:v>
                </c:pt>
                <c:pt idx="4">
                  <c:v>MP-2026-045</c:v>
                </c:pt>
                <c:pt idx="5">
                  <c:v>MP-2026-046</c:v>
                </c:pt>
                <c:pt idx="6">
                  <c:v>MP-2026-047</c:v>
                </c:pt>
                <c:pt idx="7">
                  <c:v>MP-2026-048</c:v>
                </c:pt>
                <c:pt idx="8">
                  <c:v>MP-2026-049</c:v>
                </c:pt>
                <c:pt idx="9">
                  <c:v>MP-2026-050</c:v>
                </c:pt>
                <c:pt idx="10">
                  <c:v>MP-2026-051</c:v>
                </c:pt>
                <c:pt idx="11">
                  <c:v>MP-2026-052</c:v>
                </c:pt>
                <c:pt idx="12">
                  <c:v>MP-2026-053</c:v>
                </c:pt>
                <c:pt idx="13">
                  <c:v>MP-2026-054</c:v>
                </c:pt>
                <c:pt idx="14">
                  <c:v>MP-2026-055</c:v>
                </c:pt>
              </c:strCache>
            </c:strRef>
          </c:cat>
          <c:val>
            <c:numRef>
              <c:f>DASHBOARD!$F$2:$F$17</c:f>
              <c:numCache>
                <c:formatCode>General</c:formatCode>
                <c:ptCount val="15"/>
                <c:pt idx="0">
                  <c:v>2.399</c:v>
                </c:pt>
                <c:pt idx="1">
                  <c:v>0</c:v>
                </c:pt>
                <c:pt idx="2">
                  <c:v>1.4900000000000002</c:v>
                </c:pt>
                <c:pt idx="3">
                  <c:v>2.2999999999999998</c:v>
                </c:pt>
                <c:pt idx="4">
                  <c:v>2.3780000000000001</c:v>
                </c:pt>
                <c:pt idx="5">
                  <c:v>2.399</c:v>
                </c:pt>
                <c:pt idx="6">
                  <c:v>0</c:v>
                </c:pt>
                <c:pt idx="7">
                  <c:v>1.4900000000000002</c:v>
                </c:pt>
                <c:pt idx="8">
                  <c:v>2.2999999999999998</c:v>
                </c:pt>
                <c:pt idx="9">
                  <c:v>2.3780000000000001</c:v>
                </c:pt>
                <c:pt idx="10">
                  <c:v>2.399</c:v>
                </c:pt>
                <c:pt idx="11">
                  <c:v>0</c:v>
                </c:pt>
                <c:pt idx="12">
                  <c:v>1.4900000000000002</c:v>
                </c:pt>
                <c:pt idx="13">
                  <c:v>2.2999999999999998</c:v>
                </c:pt>
                <c:pt idx="14">
                  <c:v>2.3780000000000001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F-4AD3-861A-43176DD6372D}"/>
            </c:ext>
          </c:extLst>
        </c:ser>
        <c:ser>
          <c:idx val="1"/>
          <c:order val="1"/>
          <c:tx>
            <c:strRef>
              <c:f>DASHBOARD!$G$1</c:f>
              <c:strCache>
                <c:ptCount val="1"/>
                <c:pt idx="0">
                  <c:v>Soma de Qtd_Rejeitada_Inspeção_Kg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DASHBOARD!$E$2:$E$17</c:f>
              <c:strCache>
                <c:ptCount val="15"/>
                <c:pt idx="0">
                  <c:v>MP-2026-041</c:v>
                </c:pt>
                <c:pt idx="1">
                  <c:v>MP-2026-042</c:v>
                </c:pt>
                <c:pt idx="2">
                  <c:v>MP-2026-043</c:v>
                </c:pt>
                <c:pt idx="3">
                  <c:v>MP-2026-044</c:v>
                </c:pt>
                <c:pt idx="4">
                  <c:v>MP-2026-045</c:v>
                </c:pt>
                <c:pt idx="5">
                  <c:v>MP-2026-046</c:v>
                </c:pt>
                <c:pt idx="6">
                  <c:v>MP-2026-047</c:v>
                </c:pt>
                <c:pt idx="7">
                  <c:v>MP-2026-048</c:v>
                </c:pt>
                <c:pt idx="8">
                  <c:v>MP-2026-049</c:v>
                </c:pt>
                <c:pt idx="9">
                  <c:v>MP-2026-050</c:v>
                </c:pt>
                <c:pt idx="10">
                  <c:v>MP-2026-051</c:v>
                </c:pt>
                <c:pt idx="11">
                  <c:v>MP-2026-052</c:v>
                </c:pt>
                <c:pt idx="12">
                  <c:v>MP-2026-053</c:v>
                </c:pt>
                <c:pt idx="13">
                  <c:v>MP-2026-054</c:v>
                </c:pt>
                <c:pt idx="14">
                  <c:v>MP-2026-055</c:v>
                </c:pt>
              </c:strCache>
            </c:strRef>
          </c:cat>
          <c:val>
            <c:numRef>
              <c:f>DASHBOARD!$G$2:$G$17</c:f>
              <c:numCache>
                <c:formatCode>General</c:formatCode>
                <c:ptCount val="15"/>
                <c:pt idx="0">
                  <c:v>1E-3</c:v>
                </c:pt>
                <c:pt idx="1">
                  <c:v>2.4500000000000002</c:v>
                </c:pt>
                <c:pt idx="2">
                  <c:v>1</c:v>
                </c:pt>
                <c:pt idx="3">
                  <c:v>0</c:v>
                </c:pt>
                <c:pt idx="4">
                  <c:v>2E-3</c:v>
                </c:pt>
                <c:pt idx="5">
                  <c:v>1E-3</c:v>
                </c:pt>
                <c:pt idx="6">
                  <c:v>2.4500000000000002</c:v>
                </c:pt>
                <c:pt idx="7">
                  <c:v>1</c:v>
                </c:pt>
                <c:pt idx="8">
                  <c:v>0</c:v>
                </c:pt>
                <c:pt idx="9">
                  <c:v>2E-3</c:v>
                </c:pt>
                <c:pt idx="10">
                  <c:v>1E-3</c:v>
                </c:pt>
                <c:pt idx="11">
                  <c:v>2.4500000000000002</c:v>
                </c:pt>
                <c:pt idx="12">
                  <c:v>1</c:v>
                </c:pt>
                <c:pt idx="13">
                  <c:v>0</c:v>
                </c:pt>
                <c:pt idx="14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8F-4AD3-861A-43176DD63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1741328"/>
        <c:axId val="711742288"/>
      </c:barChart>
      <c:catAx>
        <c:axId val="71174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1742288"/>
        <c:crosses val="autoZero"/>
        <c:auto val="1"/>
        <c:lblAlgn val="ctr"/>
        <c:lblOffset val="100"/>
        <c:noMultiLvlLbl val="0"/>
      </c:catAx>
      <c:valAx>
        <c:axId val="7117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174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[Dashboard.xlsx]DASHBOARD!Tabela dinâmica16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20-497F-B33F-E4A907F73A13}"/>
              </c:ext>
            </c:extLst>
          </c:dPt>
          <c:cat>
            <c:strRef>
              <c:f>DASHBOARD!$A$21:$A$23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DASHBOARD!$B$21:$B$23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0-497F-B33F-E4A907F73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29423"/>
        <c:axId val="206213103"/>
      </c:barChart>
      <c:catAx>
        <c:axId val="20622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13103"/>
        <c:crosses val="autoZero"/>
        <c:auto val="1"/>
        <c:lblAlgn val="ctr"/>
        <c:lblOffset val="100"/>
        <c:noMultiLvlLbl val="0"/>
      </c:catAx>
      <c:valAx>
        <c:axId val="20621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[Dashboard.xlsx]DASHBOARD!Tabela dinâmica10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DASHBOARD!$O$1</c:f>
              <c:strCache>
                <c:ptCount val="1"/>
                <c:pt idx="0">
                  <c:v>Soma de Quantidade_Prensadas_Aprovadas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DASHBOARD!$N$2:$N$4</c:f>
              <c:strCache>
                <c:ptCount val="2"/>
                <c:pt idx="0">
                  <c:v>Quadrada</c:v>
                </c:pt>
                <c:pt idx="1">
                  <c:v>Rolha</c:v>
                </c:pt>
              </c:strCache>
            </c:strRef>
          </c:cat>
          <c:val>
            <c:numRef>
              <c:f>DASHBOARD!$O$2:$O$4</c:f>
              <c:numCache>
                <c:formatCode>General</c:formatCode>
                <c:ptCount val="2"/>
                <c:pt idx="0">
                  <c:v>4750</c:v>
                </c:pt>
                <c:pt idx="1">
                  <c:v>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8-4250-A367-BFA511CDBA49}"/>
            </c:ext>
          </c:extLst>
        </c:ser>
        <c:ser>
          <c:idx val="1"/>
          <c:order val="1"/>
          <c:tx>
            <c:strRef>
              <c:f>DASHBOARD!$P$1</c:f>
              <c:strCache>
                <c:ptCount val="1"/>
                <c:pt idx="0">
                  <c:v>Soma de Quantidade_Prensadas_Reprovadas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DASHBOARD!$N$2:$N$4</c:f>
              <c:strCache>
                <c:ptCount val="2"/>
                <c:pt idx="0">
                  <c:v>Quadrada</c:v>
                </c:pt>
                <c:pt idx="1">
                  <c:v>Rolha</c:v>
                </c:pt>
              </c:strCache>
            </c:strRef>
          </c:cat>
          <c:val>
            <c:numRef>
              <c:f>DASHBOARD!$P$2:$P$4</c:f>
              <c:numCache>
                <c:formatCode>General</c:formatCode>
                <c:ptCount val="2"/>
                <c:pt idx="0">
                  <c:v>117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8-4250-A367-BFA511CDB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078495"/>
        <c:axId val="179079455"/>
      </c:barChart>
      <c:catAx>
        <c:axId val="17907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079455"/>
        <c:crosses val="autoZero"/>
        <c:auto val="1"/>
        <c:lblAlgn val="ctr"/>
        <c:lblOffset val="100"/>
        <c:noMultiLvlLbl val="0"/>
      </c:catAx>
      <c:valAx>
        <c:axId val="17907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07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[Dashboard.xlsx]DASHBOARD!Tabela dinâmica9</c:name>
    <c:fmtId val="28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DASHBOARD!$J$1</c:f>
              <c:strCache>
                <c:ptCount val="1"/>
                <c:pt idx="0">
                  <c:v>Soma de Quantidade_Amendoim_Kg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DASHBOARD!$I$2:$I$8</c:f>
              <c:strCache>
                <c:ptCount val="6"/>
                <c:pt idx="0">
                  <c:v>REC-01</c:v>
                </c:pt>
                <c:pt idx="1">
                  <c:v>REC-02</c:v>
                </c:pt>
                <c:pt idx="2">
                  <c:v>REC-03</c:v>
                </c:pt>
                <c:pt idx="3">
                  <c:v>REC-04</c:v>
                </c:pt>
                <c:pt idx="4">
                  <c:v>REC-05</c:v>
                </c:pt>
                <c:pt idx="5">
                  <c:v>REC-06</c:v>
                </c:pt>
              </c:strCache>
            </c:strRef>
          </c:cat>
          <c:val>
            <c:numRef>
              <c:f>DASHBOARD!$J$2:$J$8</c:f>
              <c:numCache>
                <c:formatCode>0</c:formatCode>
                <c:ptCount val="6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9-4A4B-B33B-F151C1D78D9F}"/>
            </c:ext>
          </c:extLst>
        </c:ser>
        <c:ser>
          <c:idx val="1"/>
          <c:order val="1"/>
          <c:tx>
            <c:strRef>
              <c:f>DASHBOARD!$K$1</c:f>
              <c:strCache>
                <c:ptCount val="1"/>
                <c:pt idx="0">
                  <c:v>Soma de Quantidade_Acucar_Kg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DASHBOARD!$I$2:$I$8</c:f>
              <c:strCache>
                <c:ptCount val="6"/>
                <c:pt idx="0">
                  <c:v>REC-01</c:v>
                </c:pt>
                <c:pt idx="1">
                  <c:v>REC-02</c:v>
                </c:pt>
                <c:pt idx="2">
                  <c:v>REC-03</c:v>
                </c:pt>
                <c:pt idx="3">
                  <c:v>REC-04</c:v>
                </c:pt>
                <c:pt idx="4">
                  <c:v>REC-05</c:v>
                </c:pt>
                <c:pt idx="5">
                  <c:v>REC-06</c:v>
                </c:pt>
              </c:strCache>
            </c:strRef>
          </c:cat>
          <c:val>
            <c:numRef>
              <c:f>DASHBOARD!$K$2:$K$8</c:f>
              <c:numCache>
                <c:formatCode>0</c:formatCode>
                <c:ptCount val="6"/>
                <c:pt idx="0">
                  <c:v>300</c:v>
                </c:pt>
                <c:pt idx="1">
                  <c:v>280</c:v>
                </c:pt>
                <c:pt idx="2">
                  <c:v>300</c:v>
                </c:pt>
                <c:pt idx="3">
                  <c:v>250</c:v>
                </c:pt>
                <c:pt idx="4">
                  <c:v>300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9-4A4B-B33B-F151C1D78D9F}"/>
            </c:ext>
          </c:extLst>
        </c:ser>
        <c:ser>
          <c:idx val="2"/>
          <c:order val="2"/>
          <c:tx>
            <c:strRef>
              <c:f>DASHBOARD!$L$1</c:f>
              <c:strCache>
                <c:ptCount val="1"/>
                <c:pt idx="0">
                  <c:v>Soma de Quantidade_Sal_Kg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DASHBOARD!$I$2:$I$8</c:f>
              <c:strCache>
                <c:ptCount val="6"/>
                <c:pt idx="0">
                  <c:v>REC-01</c:v>
                </c:pt>
                <c:pt idx="1">
                  <c:v>REC-02</c:v>
                </c:pt>
                <c:pt idx="2">
                  <c:v>REC-03</c:v>
                </c:pt>
                <c:pt idx="3">
                  <c:v>REC-04</c:v>
                </c:pt>
                <c:pt idx="4">
                  <c:v>REC-05</c:v>
                </c:pt>
                <c:pt idx="5">
                  <c:v>REC-06</c:v>
                </c:pt>
              </c:strCache>
            </c:strRef>
          </c:cat>
          <c:val>
            <c:numRef>
              <c:f>DASHBOARD!$L$2:$L$8</c:f>
              <c:numCache>
                <c:formatCode>0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9-4A4B-B33B-F151C1D78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0405632"/>
        <c:axId val="285320911"/>
      </c:barChart>
      <c:catAx>
        <c:axId val="7104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5320911"/>
        <c:crosses val="autoZero"/>
        <c:auto val="1"/>
        <c:lblAlgn val="ctr"/>
        <c:lblOffset val="100"/>
        <c:noMultiLvlLbl val="0"/>
      </c:catAx>
      <c:valAx>
        <c:axId val="28532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04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[Dashboard.xlsx]DASHBOARD!Tabela dinâmica2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595180728970863E-2"/>
          <c:y val="0.14249781277340332"/>
          <c:w val="0.56555246358383349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DASHBOARD!$S$1</c:f>
              <c:strCache>
                <c:ptCount val="1"/>
                <c:pt idx="0">
                  <c:v>Soma de Contagem_Boas_Embaladas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DASHBOARD!$R$2:$R$8</c:f>
              <c:strCache>
                <c:ptCount val="6"/>
                <c:pt idx="0">
                  <c:v>EMB-6101</c:v>
                </c:pt>
                <c:pt idx="1">
                  <c:v>EMB-6102</c:v>
                </c:pt>
                <c:pt idx="2">
                  <c:v>EMB-6104</c:v>
                </c:pt>
                <c:pt idx="3">
                  <c:v>EMB-6105</c:v>
                </c:pt>
                <c:pt idx="4">
                  <c:v>EMB-6106</c:v>
                </c:pt>
                <c:pt idx="5">
                  <c:v>EMB-6103</c:v>
                </c:pt>
              </c:strCache>
            </c:strRef>
          </c:cat>
          <c:val>
            <c:numRef>
              <c:f>DASHBOARD!$S$2:$S$8</c:f>
              <c:numCache>
                <c:formatCode>General</c:formatCode>
                <c:ptCount val="6"/>
                <c:pt idx="0">
                  <c:v>1500</c:v>
                </c:pt>
                <c:pt idx="1">
                  <c:v>500</c:v>
                </c:pt>
                <c:pt idx="2">
                  <c:v>2000</c:v>
                </c:pt>
                <c:pt idx="3">
                  <c:v>1580</c:v>
                </c:pt>
                <c:pt idx="4">
                  <c:v>1550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3-40F8-89CA-3822A6ED5F5C}"/>
            </c:ext>
          </c:extLst>
        </c:ser>
        <c:ser>
          <c:idx val="1"/>
          <c:order val="1"/>
          <c:tx>
            <c:strRef>
              <c:f>DASHBOARD!$T$1</c:f>
              <c:strCache>
                <c:ptCount val="1"/>
                <c:pt idx="0">
                  <c:v>Soma de Rejeitadas_Detector_Metais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DASHBOARD!$R$2:$R$8</c:f>
              <c:strCache>
                <c:ptCount val="6"/>
                <c:pt idx="0">
                  <c:v>EMB-6101</c:v>
                </c:pt>
                <c:pt idx="1">
                  <c:v>EMB-6102</c:v>
                </c:pt>
                <c:pt idx="2">
                  <c:v>EMB-6104</c:v>
                </c:pt>
                <c:pt idx="3">
                  <c:v>EMB-6105</c:v>
                </c:pt>
                <c:pt idx="4">
                  <c:v>EMB-6106</c:v>
                </c:pt>
                <c:pt idx="5">
                  <c:v>EMB-6103</c:v>
                </c:pt>
              </c:strCache>
            </c:strRef>
          </c:cat>
          <c:val>
            <c:numRef>
              <c:f>DASHBOARD!$T$2:$T$8</c:f>
              <c:numCache>
                <c:formatCode>General</c:formatCode>
                <c:ptCount val="6"/>
                <c:pt idx="0">
                  <c:v>100</c:v>
                </c:pt>
                <c:pt idx="1">
                  <c:v>200</c:v>
                </c:pt>
                <c:pt idx="2">
                  <c:v>100</c:v>
                </c:pt>
                <c:pt idx="3">
                  <c:v>100</c:v>
                </c:pt>
                <c:pt idx="4">
                  <c:v>50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3-40F8-89CA-3822A6ED5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08969984"/>
        <c:axId val="708969024"/>
      </c:barChart>
      <c:valAx>
        <c:axId val="7089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8969984"/>
        <c:crosses val="autoZero"/>
        <c:crossBetween val="between"/>
      </c:valAx>
      <c:catAx>
        <c:axId val="70896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896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[Dashboard.xlsx]DASHBOARD!Tabela dinâmica14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136482939632546E-2"/>
          <c:y val="0.14712744240303297"/>
          <c:w val="0.59864129483814521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DASHBOARD!$W$1:$W$2</c:f>
              <c:strCache>
                <c:ptCount val="1"/>
                <c:pt idx="0">
                  <c:v>Quadrada_Tradicional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DASHBOARD!$V$3:$V$5</c:f>
              <c:strCache>
                <c:ptCount val="2"/>
                <c:pt idx="0">
                  <c:v>Aguardando envio</c:v>
                </c:pt>
                <c:pt idx="1">
                  <c:v>Enviado</c:v>
                </c:pt>
              </c:strCache>
            </c:strRef>
          </c:cat>
          <c:val>
            <c:numRef>
              <c:f>DASHBOARD!$W$3:$W$5</c:f>
              <c:numCache>
                <c:formatCode>General</c:formatCode>
                <c:ptCount val="2"/>
                <c:pt idx="0">
                  <c:v>62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1-4956-9868-6C7CE1F45F3E}"/>
            </c:ext>
          </c:extLst>
        </c:ser>
        <c:ser>
          <c:idx val="1"/>
          <c:order val="1"/>
          <c:tx>
            <c:strRef>
              <c:f>DASHBOARD!$X$1:$X$2</c:f>
              <c:strCache>
                <c:ptCount val="1"/>
                <c:pt idx="0">
                  <c:v>Rolha_Tradicional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DASHBOARD!$V$3:$V$5</c:f>
              <c:strCache>
                <c:ptCount val="2"/>
                <c:pt idx="0">
                  <c:v>Aguardando envio</c:v>
                </c:pt>
                <c:pt idx="1">
                  <c:v>Enviado</c:v>
                </c:pt>
              </c:strCache>
            </c:strRef>
          </c:cat>
          <c:val>
            <c:numRef>
              <c:f>DASHBOARD!$X$3:$X$5</c:f>
              <c:numCache>
                <c:formatCode>General</c:formatCode>
                <c:ptCount val="2"/>
                <c:pt idx="0">
                  <c:v>29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71-4956-9868-6C7CE1F45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0533440"/>
        <c:axId val="720532960"/>
      </c:barChart>
      <c:catAx>
        <c:axId val="7205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0532960"/>
        <c:crosses val="autoZero"/>
        <c:auto val="1"/>
        <c:lblAlgn val="ctr"/>
        <c:lblOffset val="100"/>
        <c:noMultiLvlLbl val="0"/>
      </c:catAx>
      <c:valAx>
        <c:axId val="72053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053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346363</xdr:colOff>
      <xdr:row>40</xdr:row>
      <xdr:rowOff>86590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463072-03BD-4B7D-917E-700ED9F4B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17318</xdr:colOff>
      <xdr:row>42</xdr:row>
      <xdr:rowOff>34636</xdr:rowOff>
    </xdr:from>
    <xdr:to>
      <xdr:col>14</xdr:col>
      <xdr:colOff>16299</xdr:colOff>
      <xdr:row>82</xdr:row>
      <xdr:rowOff>34636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60E913B-CCB7-4508-9218-548AC0FD1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138545</xdr:colOff>
      <xdr:row>41</xdr:row>
      <xdr:rowOff>181841</xdr:rowOff>
    </xdr:from>
    <xdr:to>
      <xdr:col>26</xdr:col>
      <xdr:colOff>86591</xdr:colOff>
      <xdr:row>82</xdr:row>
      <xdr:rowOff>43295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36DE3B0-41D4-4EFE-AFC5-FD2C255CC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258517</xdr:colOff>
      <xdr:row>28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CE8E5C-39DE-4FD9-88E2-C172D5C0B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9524</xdr:rowOff>
    </xdr:from>
    <xdr:to>
      <xdr:col>11</xdr:col>
      <xdr:colOff>238124</xdr:colOff>
      <xdr:row>58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2F06A0-890D-40A2-8FCC-05D890B98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318933</xdr:colOff>
      <xdr:row>25</xdr:row>
      <xdr:rowOff>160244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045041-007A-487E-8A7A-FA8E63C85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23867</xdr:colOff>
      <xdr:row>28</xdr:row>
      <xdr:rowOff>1681</xdr:rowOff>
    </xdr:from>
    <xdr:to>
      <xdr:col>11</xdr:col>
      <xdr:colOff>600074</xdr:colOff>
      <xdr:row>53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3729C6-9B43-434F-A8EF-F1E6DED36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38100</xdr:colOff>
      <xdr:row>28</xdr:row>
      <xdr:rowOff>38100</xdr:rowOff>
    </xdr:from>
    <xdr:to>
      <xdr:col>15</xdr:col>
      <xdr:colOff>38100</xdr:colOff>
      <xdr:row>42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Destino_Mercado">
              <a:extLst>
                <a:ext uri="{FF2B5EF4-FFF2-40B4-BE49-F238E27FC236}">
                  <a16:creationId xmlns:a16="http://schemas.microsoft.com/office/drawing/2014/main" id="{81336BC5-883C-72B0-35EB-86E208D273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o_Merc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3300" y="53721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arc" refreshedDate="46224.845893750004" createdVersion="8" refreshedVersion="8" minRefreshableVersion="3" recordCount="15" xr:uid="{1D34FBED-2E9D-43CE-A799-2A357B17B780}">
  <cacheSource type="worksheet">
    <worksheetSource name="LOTES_MP"/>
  </cacheSource>
  <cacheFields count="8">
    <cacheField name="ID_Lote_MP" numFmtId="0">
      <sharedItems containsBlank="1" count="18">
        <s v="MP-2026-041"/>
        <s v="MP-2026-042"/>
        <s v="MP-2026-043"/>
        <s v="MP-2026-044"/>
        <s v="MP-2026-045"/>
        <s v="MP-2026-046"/>
        <s v="MP-2026-047"/>
        <s v="MP-2026-048"/>
        <s v="MP-2026-049"/>
        <s v="MP-2026-050"/>
        <s v="MP-2026-051"/>
        <s v="MP-2026-052"/>
        <s v="MP-2026-053"/>
        <s v="MP-2026-054"/>
        <s v="MP-2026-055"/>
        <s v="MP-2026-011" u="1"/>
        <m u="1"/>
        <s v="mp" u="1"/>
      </sharedItems>
    </cacheField>
    <cacheField name="Data_Hora_Recebimento" numFmtId="22">
      <sharedItems containsSemiMixedTypes="0" containsNonDate="0" containsDate="1" containsString="0" minDate="2026-07-01T08:15:00" maxDate="2026-07-10T16:00:00"/>
    </cacheField>
    <cacheField name="Peso_Bruto_Toneladas" numFmtId="170">
      <sharedItems containsSemiMixedTypes="0" containsString="0" containsNumber="1" minValue="2.2999999999999998" maxValue="2.4900000000000002"/>
    </cacheField>
    <cacheField name="Percentual_Umidade_Inicial" numFmtId="171">
      <sharedItems containsSemiMixedTypes="0" containsString="0" containsNumber="1" minValue="5.8999999999999997E-2" maxValue="7.8E-2"/>
    </cacheField>
    <cacheField name="Indice_Acidez_Oleico" numFmtId="171">
      <sharedItems containsSemiMixedTypes="0" containsString="0" containsNumber="1" minValue="8.9999999999999993E-3" maxValue="2.1000000000000001E-2"/>
    </cacheField>
    <cacheField name="Status_Analise_Química" numFmtId="0">
      <sharedItems count="2">
        <s v="Aprovado"/>
        <s v="Reprovado"/>
      </sharedItems>
    </cacheField>
    <cacheField name="Qtd_Rejeitada_Inspeção_Kg" numFmtId="170">
      <sharedItems containsSemiMixedTypes="0" containsString="0" containsNumber="1" minValue="0" maxValue="2.4500000000000002"/>
    </cacheField>
    <cacheField name="Qtd_Aprovada_Producao" numFmtId="170">
      <sharedItems containsSemiMixedTypes="0" containsString="0" containsNumber="1" minValue="0" maxValue="2.3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arc" refreshedDate="46224.845893981481" createdVersion="8" refreshedVersion="8" minRefreshableVersion="3" recordCount="6" xr:uid="{3708CBA3-4DF8-43E6-B467-A5D5B4C61479}">
  <cacheSource type="worksheet">
    <worksheetSource name="COMPOSICAO_RECEITA"/>
  </cacheSource>
  <cacheFields count="9">
    <cacheField name="ID_Receita" numFmtId="0">
      <sharedItems count="6">
        <s v="REC-01"/>
        <s v="REC-02"/>
        <s v="REC-03"/>
        <s v="REC-04"/>
        <s v="REC-05"/>
        <s v="REC-06"/>
      </sharedItems>
    </cacheField>
    <cacheField name="ID_Lote_MP" numFmtId="0">
      <sharedItems/>
    </cacheField>
    <cacheField name="Quantidade_Amendoim_Kg" numFmtId="1">
      <sharedItems containsSemiMixedTypes="0" containsString="0" containsNumber="1" containsInteger="1" minValue="500" maxValue="500"/>
    </cacheField>
    <cacheField name="Quantidade_Acucar_Kg" numFmtId="1">
      <sharedItems containsSemiMixedTypes="0" containsString="0" containsNumber="1" containsInteger="1" minValue="250" maxValue="300"/>
    </cacheField>
    <cacheField name="Quantidade_Sal_Kg" numFmtId="1">
      <sharedItems containsSemiMixedTypes="0" containsString="0" containsNumber="1" containsInteger="1" minValue="4" maxValue="5"/>
    </cacheField>
    <cacheField name="Tempo_Mistura_Minutos" numFmtId="0">
      <sharedItems containsSemiMixedTypes="0" containsString="0" containsNumber="1" containsInteger="1" minValue="10" maxValue="15"/>
    </cacheField>
    <cacheField name="Formato_Produto" numFmtId="0">
      <sharedItems count="2">
        <s v="Rolha"/>
        <s v="Quadrada"/>
      </sharedItems>
    </cacheField>
    <cacheField name="Quantidade_Prensadas_Aprovadas" numFmtId="0">
      <sharedItems containsSemiMixedTypes="0" containsString="0" containsNumber="1" containsInteger="1" minValue="1000" maxValue="2000"/>
    </cacheField>
    <cacheField name="Quantidade_Prensadas_Reprovadas" numFmtId="0">
      <sharedItems containsSemiMixedTypes="0" containsString="0" containsNumber="1" containsInteger="1" minValue="1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arc" refreshedDate="46224.851031712962" createdVersion="8" refreshedVersion="8" minRefreshableVersion="3" recordCount="6" xr:uid="{D7066360-672B-4179-B7F6-CCDE9CF2BD7A}">
  <cacheSource type="worksheet">
    <worksheetSource name="LOTES_EMBALADOS"/>
  </cacheSource>
  <cacheFields count="11">
    <cacheField name="ID_Registro_Embalagem" numFmtId="0">
      <sharedItems count="6">
        <s v="EMB-6101"/>
        <s v="EMB-6102"/>
        <s v="EMB-6103"/>
        <s v="EMB-6104"/>
        <s v="EMB-6105"/>
        <s v="EMB-6106"/>
      </sharedItems>
    </cacheField>
    <cacheField name="ID_Receita" numFmtId="0">
      <sharedItems/>
    </cacheField>
    <cacheField name="Variacao_Produto_SKU" numFmtId="0">
      <sharedItems containsBlank="1" count="9">
        <s v="Rolha_Tradicional"/>
        <s v="Quadrada_Tradicional"/>
        <s v="Quadrada_Diet" u="1"/>
        <m u="1"/>
        <s v="Rolha_Diet" u="1"/>
        <s v="Normal" u="1"/>
        <s v="Diet" u="1"/>
        <s v="Whey" u="1"/>
        <s v="Chocolate" u="1"/>
      </sharedItems>
    </cacheField>
    <cacheField name="Data_Hora_Embalagem" numFmtId="22">
      <sharedItems containsSemiMixedTypes="0" containsNonDate="0" containsDate="1" containsString="0" minDate="2026-07-19T09:30:00" maxDate="2026-07-19T18:00:00"/>
    </cacheField>
    <cacheField name="Coluna1" numFmtId="14">
      <sharedItems containsNonDate="0" containsString="0" containsBlank="1"/>
    </cacheField>
    <cacheField name="Contagem_Boas_Embaladas" numFmtId="0">
      <sharedItems containsSemiMixedTypes="0" containsString="0" containsNumber="1" containsInteger="1" minValue="500" maxValue="2000"/>
    </cacheField>
    <cacheField name="Rejeitadas_Detector_Metais" numFmtId="0">
      <sharedItems containsSemiMixedTypes="0" containsString="0" containsNumber="1" containsInteger="1" minValue="50" maxValue="500"/>
    </cacheField>
    <cacheField name="Quantidade_Caixas_Fechadas" numFmtId="0">
      <sharedItems containsSemiMixedTypes="0" containsString="0" containsNumber="1" containsInteger="1" minValue="29" maxValue="32"/>
    </cacheField>
    <cacheField name="Destino_Mercado" numFmtId="0">
      <sharedItems count="2">
        <s v="Nacional"/>
        <s v="Exportacao"/>
      </sharedItems>
    </cacheField>
    <cacheField name="Data_Validade" numFmtId="14">
      <sharedItems containsSemiMixedTypes="0" containsNonDate="0" containsDate="1" containsString="0" minDate="2027-03-01T00:00:00" maxDate="2027-07-21T00:00:00"/>
    </cacheField>
    <cacheField name="Status_Despacho" numFmtId="0">
      <sharedItems containsBlank="1" count="3">
        <s v="Enviado"/>
        <s v="Aguardando envio"/>
        <m u="1"/>
      </sharedItems>
    </cacheField>
  </cacheFields>
  <extLst>
    <ext xmlns:x14="http://schemas.microsoft.com/office/spreadsheetml/2009/9/main" uri="{725AE2AE-9491-48be-B2B4-4EB974FC3084}">
      <x14:pivotCacheDefinition pivotCacheId="18936538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6-07-01T08:15:00"/>
    <n v="2.4"/>
    <n v="6.2E-2"/>
    <n v="1.0999999999999999E-2"/>
    <x v="0"/>
    <n v="1E-3"/>
    <n v="2.399"/>
  </r>
  <r>
    <x v="1"/>
    <d v="2026-07-03T09:40:00"/>
    <n v="2.4500000000000002"/>
    <n v="7.8E-2"/>
    <n v="2.1000000000000001E-2"/>
    <x v="1"/>
    <n v="2.4500000000000002"/>
    <n v="0"/>
  </r>
  <r>
    <x v="2"/>
    <d v="2026-07-04T11:05:00"/>
    <n v="2.4900000000000002"/>
    <n v="5.8999999999999997E-2"/>
    <n v="8.9999999999999993E-3"/>
    <x v="0"/>
    <n v="1"/>
    <n v="1.4900000000000002"/>
  </r>
  <r>
    <x v="3"/>
    <d v="2026-07-08T14:20:00"/>
    <n v="2.2999999999999998"/>
    <n v="6.5000000000000002E-2"/>
    <n v="1.2999999999999999E-2"/>
    <x v="0"/>
    <n v="0"/>
    <n v="2.2999999999999998"/>
  </r>
  <r>
    <x v="4"/>
    <d v="2026-07-10T16:00:00"/>
    <n v="2.38"/>
    <n v="7.0999999999999994E-2"/>
    <n v="1.7000000000000001E-2"/>
    <x v="0"/>
    <n v="2E-3"/>
    <n v="2.3780000000000001"/>
  </r>
  <r>
    <x v="5"/>
    <d v="2026-07-01T08:15:00"/>
    <n v="2.4"/>
    <n v="6.2E-2"/>
    <n v="1.0999999999999999E-2"/>
    <x v="0"/>
    <n v="1E-3"/>
    <n v="2.399"/>
  </r>
  <r>
    <x v="6"/>
    <d v="2026-07-03T09:40:00"/>
    <n v="2.4500000000000002"/>
    <n v="7.8E-2"/>
    <n v="2.1000000000000001E-2"/>
    <x v="1"/>
    <n v="2.4500000000000002"/>
    <n v="0"/>
  </r>
  <r>
    <x v="7"/>
    <d v="2026-07-04T11:05:00"/>
    <n v="2.4900000000000002"/>
    <n v="5.8999999999999997E-2"/>
    <n v="8.9999999999999993E-3"/>
    <x v="0"/>
    <n v="1"/>
    <n v="1.4900000000000002"/>
  </r>
  <r>
    <x v="8"/>
    <d v="2026-07-08T14:20:00"/>
    <n v="2.2999999999999998"/>
    <n v="6.5000000000000002E-2"/>
    <n v="1.2999999999999999E-2"/>
    <x v="0"/>
    <n v="0"/>
    <n v="2.2999999999999998"/>
  </r>
  <r>
    <x v="9"/>
    <d v="2026-07-10T16:00:00"/>
    <n v="2.38"/>
    <n v="7.0999999999999994E-2"/>
    <n v="1.7000000000000001E-2"/>
    <x v="0"/>
    <n v="2E-3"/>
    <n v="2.3780000000000001"/>
  </r>
  <r>
    <x v="10"/>
    <d v="2026-07-01T08:15:00"/>
    <n v="2.4"/>
    <n v="6.2E-2"/>
    <n v="1.0999999999999999E-2"/>
    <x v="0"/>
    <n v="1E-3"/>
    <n v="2.399"/>
  </r>
  <r>
    <x v="11"/>
    <d v="2026-07-03T09:40:00"/>
    <n v="2.4500000000000002"/>
    <n v="7.8E-2"/>
    <n v="2.1000000000000001E-2"/>
    <x v="1"/>
    <n v="2.4500000000000002"/>
    <n v="0"/>
  </r>
  <r>
    <x v="12"/>
    <d v="2026-07-04T11:05:00"/>
    <n v="2.4900000000000002"/>
    <n v="5.8999999999999997E-2"/>
    <n v="8.9999999999999993E-3"/>
    <x v="0"/>
    <n v="1"/>
    <n v="1.4900000000000002"/>
  </r>
  <r>
    <x v="13"/>
    <d v="2026-07-08T14:20:00"/>
    <n v="2.2999999999999998"/>
    <n v="6.5000000000000002E-2"/>
    <n v="1.2999999999999999E-2"/>
    <x v="0"/>
    <n v="0"/>
    <n v="2.2999999999999998"/>
  </r>
  <r>
    <x v="14"/>
    <d v="2026-07-10T16:00:00"/>
    <n v="2.38"/>
    <n v="7.0999999999999994E-2"/>
    <n v="1.7000000000000001E-2"/>
    <x v="0"/>
    <n v="2E-3"/>
    <n v="2.3780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MP-2026-041"/>
    <n v="500"/>
    <n v="300"/>
    <n v="5"/>
    <n v="12"/>
    <x v="0"/>
    <n v="2000"/>
    <n v="45"/>
  </r>
  <r>
    <x v="1"/>
    <s v="MP-2026-042"/>
    <n v="500"/>
    <n v="280"/>
    <n v="5"/>
    <n v="15"/>
    <x v="0"/>
    <n v="1000"/>
    <n v="20"/>
  </r>
  <r>
    <x v="2"/>
    <s v="MP-2026-043"/>
    <n v="500"/>
    <n v="300"/>
    <n v="5"/>
    <n v="10"/>
    <x v="1"/>
    <n v="1550"/>
    <n v="60"/>
  </r>
  <r>
    <x v="3"/>
    <s v="MP-2026-043"/>
    <n v="500"/>
    <n v="250"/>
    <n v="4"/>
    <n v="14"/>
    <x v="1"/>
    <n v="1590"/>
    <n v="35"/>
  </r>
  <r>
    <x v="4"/>
    <s v="MP-2026-044"/>
    <n v="500"/>
    <n v="300"/>
    <n v="5"/>
    <n v="15"/>
    <x v="0"/>
    <n v="1600"/>
    <n v="15"/>
  </r>
  <r>
    <x v="5"/>
    <s v="MP-2026-045"/>
    <n v="500"/>
    <n v="290"/>
    <n v="5"/>
    <n v="13"/>
    <x v="1"/>
    <n v="1610"/>
    <n v="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REC-01"/>
    <x v="0"/>
    <d v="2026-07-19T09:30:00"/>
    <m/>
    <n v="1500"/>
    <n v="100"/>
    <n v="30"/>
    <x v="0"/>
    <d v="2027-03-01T00:00:00"/>
    <x v="0"/>
  </r>
  <r>
    <x v="1"/>
    <s v="REC-01"/>
    <x v="1"/>
    <d v="2026-07-19T11:00:00"/>
    <m/>
    <n v="500"/>
    <n v="200"/>
    <n v="32"/>
    <x v="1"/>
    <d v="2027-03-02T00:00:00"/>
    <x v="1"/>
  </r>
  <r>
    <x v="2"/>
    <s v="REC-02"/>
    <x v="0"/>
    <d v="2026-07-19T12:45:00"/>
    <m/>
    <n v="1000"/>
    <n v="500"/>
    <n v="29"/>
    <x v="0"/>
    <d v="2027-04-11T00:00:00"/>
    <x v="1"/>
  </r>
  <r>
    <x v="3"/>
    <s v="REC-02"/>
    <x v="1"/>
    <d v="2026-07-19T14:50:00"/>
    <m/>
    <n v="2000"/>
    <n v="100"/>
    <n v="30"/>
    <x v="0"/>
    <d v="2027-05-15T00:00:00"/>
    <x v="1"/>
  </r>
  <r>
    <x v="4"/>
    <s v="REC-05"/>
    <x v="1"/>
    <d v="2026-07-19T16:30:00"/>
    <m/>
    <n v="1580"/>
    <n v="100"/>
    <n v="31"/>
    <x v="1"/>
    <d v="2027-06-19T00:00:00"/>
    <x v="0"/>
  </r>
  <r>
    <x v="5"/>
    <s v="REC-06"/>
    <x v="0"/>
    <d v="2026-07-19T18:00:00"/>
    <m/>
    <n v="1550"/>
    <n v="50"/>
    <n v="31"/>
    <x v="0"/>
    <d v="2027-07-20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3F56E-981B-4F94-9BD3-007DB0F087E3}" name="Tabela dinâmica16" cacheId="1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20:B23" firstHeaderRow="1" firstDataRow="1" firstDataCol="1"/>
  <pivotFields count="8">
    <pivotField dataField="1" showAll="0" defaultSubtotal="0">
      <items count="18">
        <item m="1" x="17"/>
        <item m="1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m="1" x="16"/>
      </items>
    </pivotField>
    <pivotField numFmtId="22" showAll="0"/>
    <pivotField numFmtId="170" showAll="0"/>
    <pivotField numFmtId="171" showAll="0"/>
    <pivotField numFmtId="171" showAll="0"/>
    <pivotField axis="axisRow" showAll="0" defaultSubtotal="0">
      <items count="2">
        <item x="0"/>
        <item x="1"/>
      </items>
    </pivotField>
    <pivotField numFmtId="170" showAll="0"/>
    <pivotField numFmtId="17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ntagem de ID_Lote_MP" fld="0" subtotal="count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F8968-6852-423A-8692-9C6E4F805992}" name="Tabela dinâmica15" cacheId="1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V8:X25" firstHeaderRow="1" firstDataRow="1" firstDataCol="0"/>
  <pivotFields count="11"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numFmtId="14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3E126-30D5-4F2C-8534-1F18223C3559}" name="Tabela dinâmica14" cacheId="1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V1:Y5" firstHeaderRow="1" firstDataRow="2" firstDataCol="1"/>
  <pivotFields count="11">
    <pivotField showAll="0"/>
    <pivotField showAll="0"/>
    <pivotField axis="axisCol" showAll="0">
      <items count="10">
        <item m="1" x="8"/>
        <item m="1" x="6"/>
        <item m="1" x="5"/>
        <item m="1" x="2"/>
        <item x="1"/>
        <item m="1" x="4"/>
        <item x="0"/>
        <item m="1" x="7"/>
        <item m="1" x="3"/>
        <item t="default"/>
      </items>
    </pivotField>
    <pivotField numFmtId="22"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numFmtId="14" showAll="0"/>
    <pivotField axis="axisRow" showAll="0">
      <items count="4">
        <item x="1"/>
        <item x="0"/>
        <item m="1" x="2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2"/>
  </colFields>
  <colItems count="3">
    <i>
      <x v="4"/>
    </i>
    <i>
      <x v="6"/>
    </i>
    <i t="grand">
      <x/>
    </i>
  </colItems>
  <dataFields count="1">
    <dataField name="Soma de Quantidade_Caixas_Fechadas" fld="7" baseField="0" baseItem="0"/>
  </dataFields>
  <chartFormats count="8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A475F-5A4E-40D3-8C11-7D0C3DF9CCE2}" name="Tabela dinâmica10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N1:P4" firstHeaderRow="0" firstDataRow="1" firstDataCol="1"/>
  <pivotFields count="9">
    <pivotField showAll="0"/>
    <pivotField showAll="0"/>
    <pivotField numFmtId="1" showAll="0"/>
    <pivotField numFmtId="1" showAll="0"/>
    <pivotField numFmtId="1" showAll="0"/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_Prensadas_Aprovadas" fld="7" baseField="0" baseItem="0"/>
    <dataField name="Soma de Quantidade_Prensadas_Reprovadas" fld="8" baseField="0" baseItem="0"/>
  </dataFields>
  <chartFormats count="4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98011-580A-40D8-8F78-62F905AEE485}" name="Tabela dinâmica9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0">
  <location ref="I1:L8" firstHeaderRow="0" firstDataRow="1" firstDataCol="1"/>
  <pivotFields count="9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Quantidade_Amendoim_Kg" fld="2" baseField="0" baseItem="0" numFmtId="1"/>
    <dataField name="Soma de Quantidade_Acucar_Kg" fld="3" baseField="0" baseItem="0" numFmtId="1"/>
    <dataField name="Soma de Quantidade_Sal_Kg" fld="4" baseField="0" baseItem="0" numFmtId="1"/>
  </dataFields>
  <chartFormats count="6"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D2552-BCA2-44CB-9A58-CAB2ABD7FF77}" name="Tabela dinâmica7" cacheId="1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E1:G17" firstHeaderRow="0" firstDataRow="1" firstDataCol="1"/>
  <pivotFields count="8">
    <pivotField axis="axisRow" showAll="0">
      <items count="19">
        <item m="1" x="17"/>
        <item m="1" x="15"/>
        <item x="0"/>
        <item x="1"/>
        <item x="2"/>
        <item x="3"/>
        <item x="4"/>
        <item m="1" x="16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numFmtId="170"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6"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d_Aprovada_Producao" fld="7" baseField="0" baseItem="0"/>
    <dataField name="Soma de Qtd_Rejeitada_Inspeção_Kg" fld="6" baseField="0" baseItem="0"/>
  </dataFields>
  <chartFormats count="10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BB76-FA7B-4D35-8132-9FB587D3D482}" name="Tabela dinâmica3" cacheId="1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1:C17" firstHeaderRow="0" firstDataRow="1" firstDataCol="1"/>
  <pivotFields count="8">
    <pivotField axis="axisRow" showAll="0">
      <items count="19">
        <item x="0"/>
        <item x="1"/>
        <item x="2"/>
        <item x="3"/>
        <item x="4"/>
        <item m="1" x="15"/>
        <item m="1" x="17"/>
        <item m="1" x="16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22" showAll="0"/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Percentual_Umidade_Inicial" fld="3" subtotal="average" baseField="0" baseItem="0"/>
    <dataField name="Média de Indice_Acidez_Oleico" fld="4" subtotal="average" baseField="0" baseItem="0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F48AD-268B-4FF6-B8C6-442AB007A6C6}" name="Tabela dinâmica2" cacheId="1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R1:T8" firstHeaderRow="0" firstDataRow="1" firstDataCol="1"/>
  <pivotFields count="11">
    <pivotField axis="axisRow" showAll="0">
      <items count="7">
        <item x="0"/>
        <item x="1"/>
        <item x="3"/>
        <item x="4"/>
        <item x="5"/>
        <item x="2"/>
        <item t="default"/>
      </items>
    </pivotField>
    <pivotField showAll="0"/>
    <pivotField showAll="0"/>
    <pivotField numFmtId="22" showAll="0"/>
    <pivotField showAll="0"/>
    <pivotField dataField="1" showAll="0"/>
    <pivotField dataField="1" showAll="0"/>
    <pivotField showAll="0"/>
    <pivotField showAll="0"/>
    <pivotField numFmtId="14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ontagem_Boas_Embaladas" fld="5" baseField="0" baseItem="0"/>
    <dataField name="Soma de Rejeitadas_Detector_Metais" fld="6" baseField="2" baseItem="8"/>
  </dataFields>
  <chartFormats count="4"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tino_Mercado" xr10:uid="{54E50E61-2FF7-4C57-9171-B5CE73BCA267}" sourceName="Destino_Mercado">
  <pivotTables>
    <pivotTable tabId="4" name="Tabela dinâmica14"/>
  </pivotTables>
  <data>
    <tabular pivotCacheId="1893653860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tino_Mercado" xr10:uid="{973A82E3-4626-4514-85A1-5A7D70A32B9C}" cache="SegmentaçãodeDados_Destino_Mercado" caption="Destino_Mercad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C3E214-8FD2-44EB-AF06-0FC3CBF0D28A}" name="LOTES_MP" displayName="LOTES_MP" ref="A1:H16" totalsRowShown="0">
  <autoFilter ref="A1:H16" xr:uid="{F9C3E214-8FD2-44EB-AF06-0FC3CBF0D28A}"/>
  <tableColumns count="8">
    <tableColumn id="1" xr3:uid="{E0AC93BB-2982-4304-B6D1-7EFDD13D2720}" name="ID_Lote_MP"/>
    <tableColumn id="2" xr3:uid="{AD09E0E9-B037-4549-8287-A0E5D7E80B7A}" name="Data_Hora_Recebimento" dataDxfId="9"/>
    <tableColumn id="3" xr3:uid="{408AD8B7-93C3-4D34-BDDA-E13D7C575EF6}" name="Peso_Bruto_Toneladas" dataDxfId="8"/>
    <tableColumn id="4" xr3:uid="{A294BAB3-BCBC-4870-A064-B92B5746B8CA}" name="Percentual_Umidade_Inicial" dataDxfId="6" dataCellStyle="Porcentagem"/>
    <tableColumn id="5" xr3:uid="{8F2CFE78-0B74-4A51-8D2C-74B8E1C1CB96}" name="Indice_Acidez_Oleico" dataDxfId="5" dataCellStyle="Porcentagem"/>
    <tableColumn id="7" xr3:uid="{4E294AB5-4D4F-4D95-A7B7-02BC62C99ABE}" name="Status_Analise_Química" dataDxfId="10" dataCellStyle="Porcentagem"/>
    <tableColumn id="8" xr3:uid="{83EDC9E1-1354-47A4-B2AE-F90B3DE560A5}" name="Qtd_Rejeitada_Inspeção_Kg" dataDxfId="4"/>
    <tableColumn id="9" xr3:uid="{61DEE33F-CD34-4043-A9E5-B2041A77C651}" name="Qtd_Aprovada_Producao" dataDxfId="7">
      <calculatedColumnFormula>LOTES_MP[[#This Row],[Peso_Bruto_Toneladas]]-LOTES_MP[[#This Row],[Qtd_Rejeitada_Inspeção_Kg]]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4B0B4C-1146-4178-9991-382B6CFD30C6}" name="COMPOSICAO_RECEITA" displayName="COMPOSICAO_RECEITA" ref="A1:I7" totalsRowShown="0" headerRowDxfId="11">
  <autoFilter ref="A1:I7" xr:uid="{EC4B0B4C-1146-4178-9991-382B6CFD30C6}"/>
  <tableColumns count="9">
    <tableColumn id="1" xr3:uid="{33AADF5D-5BF1-4E05-A499-7EB2C349134D}" name="ID_Receita"/>
    <tableColumn id="2" xr3:uid="{0685050C-EA39-43F8-BAAF-E4F8EA8B66A6}" name="ID_Lote_MP"/>
    <tableColumn id="13" xr3:uid="{EFF8A70A-4B69-47DB-92F3-FB66B9078C93}" name="Quantidade_Amendoim_Kg" dataDxfId="3"/>
    <tableColumn id="12" xr3:uid="{E64EC1A6-99DE-4BE2-A78A-EBE8E3A046C9}" name="Quantidade_Acucar_Kg" dataDxfId="2"/>
    <tableColumn id="11" xr3:uid="{D9CBE6E1-A9CF-4162-B2FB-3A15F5D843C4}" name="Quantidade_Sal_Kg" dataDxfId="1"/>
    <tableColumn id="14" xr3:uid="{7A448833-12B6-4EC6-A900-BAF72DA20F2B}" name="Tempo_Mistura_Minutos"/>
    <tableColumn id="3" xr3:uid="{E5CFAD9A-F8F2-4472-81AF-4EA12C15FBC9}" name="Formato_Produto"/>
    <tableColumn id="4" xr3:uid="{5BF0F200-FC61-4991-877B-24570F5C34F1}" name="Quantidade_Prensadas_Aprovadas"/>
    <tableColumn id="5" xr3:uid="{374DA7E8-F833-4197-AA52-0758099D729B}" name="Quantidade_Prensadas_Reprovad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EB13B-4568-4D07-AF9F-64258395B454}" name="LOTES_EMBALADOS" displayName="LOTES_EMBALADOS" ref="A1:I7" totalsRowShown="0" headerRowDxfId="12">
  <autoFilter ref="A1:I7" xr:uid="{CBEEB13B-4568-4D07-AF9F-64258395B454}"/>
  <tableColumns count="9">
    <tableColumn id="1" xr3:uid="{D44BF735-9610-47A3-86B7-C9B26ADE6A94}" name="ID_Registro_Embalagem"/>
    <tableColumn id="2" xr3:uid="{9C5F72E2-47B0-457D-8CEC-792212CE018C}" name="ID_Receita"/>
    <tableColumn id="3" xr3:uid="{E268F2CD-9B12-4F70-AF6E-0A34D0C30026}" name="Variacao_Produto_SKU"/>
    <tableColumn id="4" xr3:uid="{F2B7D15E-2560-48F2-8A02-40E5CA678D1F}" name="Data_Hora_Embalagem" dataDxfId="13"/>
    <tableColumn id="6" xr3:uid="{C4378FB5-4F6C-4581-BEC6-41A0A16A9772}" name="Contagem_Boas_Embaladas"/>
    <tableColumn id="12" xr3:uid="{91213596-1866-4F18-9A3A-7E398B57FECF}" name="Rejeitadas_Detector_Metais"/>
    <tableColumn id="7" xr3:uid="{9D8A6984-A1A2-42A8-BCBC-6F4A08F378D7}" name="Quantidade_Caixas_Fechadas"/>
    <tableColumn id="9" xr3:uid="{1C0721A7-760E-45B6-90FD-D017D1691C2B}" name="Destino_Mercado"/>
    <tableColumn id="14" xr3:uid="{5DB13FA7-0E89-417D-94D5-71818E689772}" name="Status_Despach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72CF-D832-4B09-82E7-AD1BDCADC563}">
  <dimension ref="A1"/>
  <sheetViews>
    <sheetView zoomScale="70" zoomScaleNormal="70" workbookViewId="0">
      <selection activeCell="T35" sqref="T3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67B1-7B84-4EAA-8876-758E3F47B4ED}">
  <dimension ref="A1"/>
  <sheetViews>
    <sheetView workbookViewId="0">
      <selection activeCell="N31" sqref="N3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76BB-F31F-4AEC-B9B5-16459D077453}">
  <dimension ref="A1"/>
  <sheetViews>
    <sheetView topLeftCell="A22" workbookViewId="0">
      <selection activeCell="O46" sqref="O4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8ADA-B664-4F9C-A055-65C67A2ACDC7}">
  <dimension ref="A1:H16"/>
  <sheetViews>
    <sheetView workbookViewId="0">
      <selection activeCell="C33" sqref="C33"/>
    </sheetView>
  </sheetViews>
  <sheetFormatPr defaultRowHeight="15" x14ac:dyDescent="0.25"/>
  <cols>
    <col min="1" max="1" width="13.5703125" customWidth="1"/>
    <col min="2" max="2" width="25.42578125" customWidth="1"/>
    <col min="3" max="3" width="23.28515625" customWidth="1"/>
    <col min="4" max="4" width="28" style="19" customWidth="1"/>
    <col min="5" max="5" width="22.140625" style="19" customWidth="1"/>
    <col min="6" max="6" width="25.140625" style="3" bestFit="1" customWidth="1"/>
    <col min="7" max="8" width="25.140625" style="18" customWidth="1"/>
  </cols>
  <sheetData>
    <row r="1" spans="1:8" x14ac:dyDescent="0.25">
      <c r="A1" t="s">
        <v>0</v>
      </c>
      <c r="B1" t="s">
        <v>1</v>
      </c>
      <c r="C1" t="s">
        <v>2</v>
      </c>
      <c r="D1" s="19" t="s">
        <v>3</v>
      </c>
      <c r="E1" s="19" t="s">
        <v>4</v>
      </c>
      <c r="F1" t="s">
        <v>45</v>
      </c>
      <c r="G1" s="17" t="s">
        <v>50</v>
      </c>
      <c r="H1" s="17" t="s">
        <v>52</v>
      </c>
    </row>
    <row r="2" spans="1:8" x14ac:dyDescent="0.25">
      <c r="A2" t="s">
        <v>5</v>
      </c>
      <c r="B2" s="1">
        <v>46204.34375</v>
      </c>
      <c r="C2" s="17">
        <v>2.4</v>
      </c>
      <c r="D2" s="19">
        <v>6.2E-2</v>
      </c>
      <c r="E2" s="19">
        <v>1.0999999999999999E-2</v>
      </c>
      <c r="F2" t="s">
        <v>6</v>
      </c>
      <c r="G2" s="17">
        <v>1E-3</v>
      </c>
      <c r="H2" s="17">
        <f>LOTES_MP[[#This Row],[Peso_Bruto_Toneladas]]-LOTES_MP[[#This Row],[Qtd_Rejeitada_Inspeção_Kg]]</f>
        <v>2.399</v>
      </c>
    </row>
    <row r="3" spans="1:8" x14ac:dyDescent="0.25">
      <c r="A3" t="s">
        <v>7</v>
      </c>
      <c r="B3" s="1">
        <v>46206.402777777781</v>
      </c>
      <c r="C3" s="17">
        <v>2.4500000000000002</v>
      </c>
      <c r="D3" s="19">
        <v>7.8E-2</v>
      </c>
      <c r="E3" s="19">
        <v>2.1000000000000001E-2</v>
      </c>
      <c r="F3" t="s">
        <v>8</v>
      </c>
      <c r="G3" s="17">
        <v>2.4500000000000002</v>
      </c>
      <c r="H3" s="17">
        <f>LOTES_MP[[#This Row],[Peso_Bruto_Toneladas]]-LOTES_MP[[#This Row],[Qtd_Rejeitada_Inspeção_Kg]]</f>
        <v>0</v>
      </c>
    </row>
    <row r="4" spans="1:8" x14ac:dyDescent="0.25">
      <c r="A4" t="s">
        <v>9</v>
      </c>
      <c r="B4" s="1">
        <v>46207.461805555555</v>
      </c>
      <c r="C4" s="17">
        <v>2.4900000000000002</v>
      </c>
      <c r="D4" s="19">
        <v>5.8999999999999997E-2</v>
      </c>
      <c r="E4" s="19">
        <v>8.9999999999999993E-3</v>
      </c>
      <c r="F4" t="s">
        <v>6</v>
      </c>
      <c r="G4" s="17">
        <v>1</v>
      </c>
      <c r="H4" s="17">
        <f>LOTES_MP[[#This Row],[Peso_Bruto_Toneladas]]-LOTES_MP[[#This Row],[Qtd_Rejeitada_Inspeção_Kg]]</f>
        <v>1.4900000000000002</v>
      </c>
    </row>
    <row r="5" spans="1:8" x14ac:dyDescent="0.25">
      <c r="A5" t="s">
        <v>10</v>
      </c>
      <c r="B5" s="1">
        <v>46211.597222222219</v>
      </c>
      <c r="C5" s="17">
        <v>2.2999999999999998</v>
      </c>
      <c r="D5" s="19">
        <v>6.5000000000000002E-2</v>
      </c>
      <c r="E5" s="19">
        <v>1.2999999999999999E-2</v>
      </c>
      <c r="F5" t="s">
        <v>6</v>
      </c>
      <c r="G5" s="17">
        <v>0</v>
      </c>
      <c r="H5" s="17">
        <f>LOTES_MP[[#This Row],[Peso_Bruto_Toneladas]]-LOTES_MP[[#This Row],[Qtd_Rejeitada_Inspeção_Kg]]</f>
        <v>2.2999999999999998</v>
      </c>
    </row>
    <row r="6" spans="1:8" x14ac:dyDescent="0.25">
      <c r="A6" t="s">
        <v>11</v>
      </c>
      <c r="B6" s="1">
        <v>46213.666666666664</v>
      </c>
      <c r="C6" s="17">
        <v>2.38</v>
      </c>
      <c r="D6" s="19">
        <v>7.0999999999999994E-2</v>
      </c>
      <c r="E6" s="19">
        <v>1.7000000000000001E-2</v>
      </c>
      <c r="F6" t="s">
        <v>6</v>
      </c>
      <c r="G6" s="17">
        <v>2E-3</v>
      </c>
      <c r="H6" s="17">
        <f>LOTES_MP[[#This Row],[Peso_Bruto_Toneladas]]-LOTES_MP[[#This Row],[Qtd_Rejeitada_Inspeção_Kg]]</f>
        <v>2.3780000000000001</v>
      </c>
    </row>
    <row r="7" spans="1:8" x14ac:dyDescent="0.25">
      <c r="A7" t="s">
        <v>66</v>
      </c>
      <c r="B7" s="1">
        <v>46204.34375</v>
      </c>
      <c r="C7" s="17">
        <v>2.4</v>
      </c>
      <c r="D7" s="19">
        <v>6.2E-2</v>
      </c>
      <c r="E7" s="19">
        <v>1.0999999999999999E-2</v>
      </c>
      <c r="F7" t="s">
        <v>6</v>
      </c>
      <c r="G7" s="17">
        <v>1E-3</v>
      </c>
      <c r="H7" s="17">
        <f>LOTES_MP[[#This Row],[Peso_Bruto_Toneladas]]-LOTES_MP[[#This Row],[Qtd_Rejeitada_Inspeção_Kg]]</f>
        <v>2.399</v>
      </c>
    </row>
    <row r="8" spans="1:8" x14ac:dyDescent="0.25">
      <c r="A8" t="s">
        <v>67</v>
      </c>
      <c r="B8" s="1">
        <v>46206.402777777781</v>
      </c>
      <c r="C8" s="17">
        <v>2.4500000000000002</v>
      </c>
      <c r="D8" s="19">
        <v>7.8E-2</v>
      </c>
      <c r="E8" s="19">
        <v>2.1000000000000001E-2</v>
      </c>
      <c r="F8" t="s">
        <v>8</v>
      </c>
      <c r="G8" s="17">
        <v>2.4500000000000002</v>
      </c>
      <c r="H8" s="17">
        <f>LOTES_MP[[#This Row],[Peso_Bruto_Toneladas]]-LOTES_MP[[#This Row],[Qtd_Rejeitada_Inspeção_Kg]]</f>
        <v>0</v>
      </c>
    </row>
    <row r="9" spans="1:8" x14ac:dyDescent="0.25">
      <c r="A9" t="s">
        <v>68</v>
      </c>
      <c r="B9" s="1">
        <v>46207.461805555555</v>
      </c>
      <c r="C9" s="17">
        <v>2.4900000000000002</v>
      </c>
      <c r="D9" s="19">
        <v>5.8999999999999997E-2</v>
      </c>
      <c r="E9" s="19">
        <v>8.9999999999999993E-3</v>
      </c>
      <c r="F9" t="s">
        <v>6</v>
      </c>
      <c r="G9" s="17">
        <v>1</v>
      </c>
      <c r="H9" s="17">
        <f>LOTES_MP[[#This Row],[Peso_Bruto_Toneladas]]-LOTES_MP[[#This Row],[Qtd_Rejeitada_Inspeção_Kg]]</f>
        <v>1.4900000000000002</v>
      </c>
    </row>
    <row r="10" spans="1:8" x14ac:dyDescent="0.25">
      <c r="A10" t="s">
        <v>69</v>
      </c>
      <c r="B10" s="1">
        <v>46211.597222222219</v>
      </c>
      <c r="C10" s="17">
        <v>2.2999999999999998</v>
      </c>
      <c r="D10" s="19">
        <v>6.5000000000000002E-2</v>
      </c>
      <c r="E10" s="19">
        <v>1.2999999999999999E-2</v>
      </c>
      <c r="F10" t="s">
        <v>6</v>
      </c>
      <c r="G10" s="17">
        <v>0</v>
      </c>
      <c r="H10" s="17">
        <f>LOTES_MP[[#This Row],[Peso_Bruto_Toneladas]]-LOTES_MP[[#This Row],[Qtd_Rejeitada_Inspeção_Kg]]</f>
        <v>2.2999999999999998</v>
      </c>
    </row>
    <row r="11" spans="1:8" x14ac:dyDescent="0.25">
      <c r="A11" t="s">
        <v>70</v>
      </c>
      <c r="B11" s="1">
        <v>46213.666666666664</v>
      </c>
      <c r="C11" s="17">
        <v>2.38</v>
      </c>
      <c r="D11" s="19">
        <v>7.0999999999999994E-2</v>
      </c>
      <c r="E11" s="19">
        <v>1.7000000000000001E-2</v>
      </c>
      <c r="F11" t="s">
        <v>6</v>
      </c>
      <c r="G11" s="17">
        <v>2E-3</v>
      </c>
      <c r="H11" s="17">
        <f>LOTES_MP[[#This Row],[Peso_Bruto_Toneladas]]-LOTES_MP[[#This Row],[Qtd_Rejeitada_Inspeção_Kg]]</f>
        <v>2.3780000000000001</v>
      </c>
    </row>
    <row r="12" spans="1:8" x14ac:dyDescent="0.25">
      <c r="A12" t="s">
        <v>71</v>
      </c>
      <c r="B12" s="1">
        <v>46204.34375</v>
      </c>
      <c r="C12" s="17">
        <v>2.4</v>
      </c>
      <c r="D12" s="19">
        <v>6.2E-2</v>
      </c>
      <c r="E12" s="19">
        <v>1.0999999999999999E-2</v>
      </c>
      <c r="F12" s="4" t="s">
        <v>6</v>
      </c>
      <c r="G12" s="17">
        <v>1E-3</v>
      </c>
      <c r="H12" s="17">
        <f>LOTES_MP[[#This Row],[Peso_Bruto_Toneladas]]-LOTES_MP[[#This Row],[Qtd_Rejeitada_Inspeção_Kg]]</f>
        <v>2.399</v>
      </c>
    </row>
    <row r="13" spans="1:8" x14ac:dyDescent="0.25">
      <c r="A13" t="s">
        <v>72</v>
      </c>
      <c r="B13" s="1">
        <v>46206.402777777781</v>
      </c>
      <c r="C13" s="17">
        <v>2.4500000000000002</v>
      </c>
      <c r="D13" s="19">
        <v>7.8E-2</v>
      </c>
      <c r="E13" s="19">
        <v>2.1000000000000001E-2</v>
      </c>
      <c r="F13" s="4" t="s">
        <v>8</v>
      </c>
      <c r="G13" s="17">
        <v>2.4500000000000002</v>
      </c>
      <c r="H13" s="17">
        <f>LOTES_MP[[#This Row],[Peso_Bruto_Toneladas]]-LOTES_MP[[#This Row],[Qtd_Rejeitada_Inspeção_Kg]]</f>
        <v>0</v>
      </c>
    </row>
    <row r="14" spans="1:8" x14ac:dyDescent="0.25">
      <c r="A14" t="s">
        <v>73</v>
      </c>
      <c r="B14" s="1">
        <v>46207.461805555555</v>
      </c>
      <c r="C14" s="17">
        <v>2.4900000000000002</v>
      </c>
      <c r="D14" s="19">
        <v>5.8999999999999997E-2</v>
      </c>
      <c r="E14" s="19">
        <v>8.9999999999999993E-3</v>
      </c>
      <c r="F14" s="4" t="s">
        <v>6</v>
      </c>
      <c r="G14" s="17">
        <v>1</v>
      </c>
      <c r="H14" s="17">
        <f>LOTES_MP[[#This Row],[Peso_Bruto_Toneladas]]-LOTES_MP[[#This Row],[Qtd_Rejeitada_Inspeção_Kg]]</f>
        <v>1.4900000000000002</v>
      </c>
    </row>
    <row r="15" spans="1:8" x14ac:dyDescent="0.25">
      <c r="A15" t="s">
        <v>74</v>
      </c>
      <c r="B15" s="1">
        <v>46211.597222222219</v>
      </c>
      <c r="C15" s="17">
        <v>2.2999999999999998</v>
      </c>
      <c r="D15" s="19">
        <v>6.5000000000000002E-2</v>
      </c>
      <c r="E15" s="19">
        <v>1.2999999999999999E-2</v>
      </c>
      <c r="F15" s="4" t="s">
        <v>6</v>
      </c>
      <c r="G15" s="17">
        <v>0</v>
      </c>
      <c r="H15" s="17">
        <f>LOTES_MP[[#This Row],[Peso_Bruto_Toneladas]]-LOTES_MP[[#This Row],[Qtd_Rejeitada_Inspeção_Kg]]</f>
        <v>2.2999999999999998</v>
      </c>
    </row>
    <row r="16" spans="1:8" x14ac:dyDescent="0.25">
      <c r="A16" t="s">
        <v>75</v>
      </c>
      <c r="B16" s="1">
        <v>46213.666666666664</v>
      </c>
      <c r="C16" s="17">
        <v>2.38</v>
      </c>
      <c r="D16" s="19">
        <v>7.0999999999999994E-2</v>
      </c>
      <c r="E16" s="19">
        <v>1.7000000000000001E-2</v>
      </c>
      <c r="F16" s="4" t="s">
        <v>6</v>
      </c>
      <c r="G16" s="17">
        <v>2E-3</v>
      </c>
      <c r="H16" s="17">
        <f>LOTES_MP[[#This Row],[Peso_Bruto_Toneladas]]-LOTES_MP[[#This Row],[Qtd_Rejeitada_Inspeção_Kg]]</f>
        <v>2.3780000000000001</v>
      </c>
    </row>
  </sheetData>
  <phoneticPr fontId="2" type="noConversion"/>
  <conditionalFormatting sqref="C2:C1048576">
    <cfRule type="cellIs" dxfId="0" priority="1" operator="greaterThan">
      <formula>2.5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075D-DACB-4302-9B29-BB1437D9DCE9}">
  <dimension ref="A1:I7"/>
  <sheetViews>
    <sheetView tabSelected="1" workbookViewId="0">
      <selection activeCell="B5" sqref="B5"/>
    </sheetView>
  </sheetViews>
  <sheetFormatPr defaultRowHeight="15" x14ac:dyDescent="0.25"/>
  <cols>
    <col min="1" max="1" width="12.85546875" customWidth="1"/>
    <col min="2" max="2" width="13.5703125" customWidth="1"/>
    <col min="3" max="5" width="11.7109375" style="21" customWidth="1"/>
    <col min="6" max="6" width="11.7109375" customWidth="1"/>
    <col min="7" max="7" width="18.5703125" customWidth="1"/>
    <col min="8" max="8" width="33.5703125" customWidth="1"/>
    <col min="9" max="9" width="39.140625" customWidth="1"/>
    <col min="10" max="10" width="12.85546875" customWidth="1"/>
  </cols>
  <sheetData>
    <row r="1" spans="1:9" ht="63.75" customHeight="1" x14ac:dyDescent="0.25">
      <c r="A1" s="2" t="s">
        <v>12</v>
      </c>
      <c r="B1" s="2" t="s">
        <v>0</v>
      </c>
      <c r="C1" s="20" t="s">
        <v>14</v>
      </c>
      <c r="D1" s="20" t="s">
        <v>15</v>
      </c>
      <c r="E1" s="20" t="s">
        <v>16</v>
      </c>
      <c r="F1" s="2" t="s">
        <v>17</v>
      </c>
      <c r="G1" s="2" t="s">
        <v>13</v>
      </c>
      <c r="H1" s="2" t="s">
        <v>48</v>
      </c>
      <c r="I1" s="2" t="s">
        <v>49</v>
      </c>
    </row>
    <row r="2" spans="1:9" x14ac:dyDescent="0.25">
      <c r="A2" t="s">
        <v>18</v>
      </c>
      <c r="B2" t="s">
        <v>5</v>
      </c>
      <c r="C2" s="21">
        <v>500</v>
      </c>
      <c r="D2" s="21">
        <v>300</v>
      </c>
      <c r="E2" s="21">
        <v>5</v>
      </c>
      <c r="F2">
        <v>12</v>
      </c>
      <c r="G2" t="s">
        <v>19</v>
      </c>
      <c r="H2">
        <v>2000</v>
      </c>
      <c r="I2">
        <v>45</v>
      </c>
    </row>
    <row r="3" spans="1:9" x14ac:dyDescent="0.25">
      <c r="A3" t="s">
        <v>18</v>
      </c>
      <c r="B3" t="s">
        <v>7</v>
      </c>
      <c r="C3" s="21">
        <v>500</v>
      </c>
      <c r="D3" s="21">
        <v>280</v>
      </c>
      <c r="E3" s="21">
        <v>5</v>
      </c>
      <c r="F3">
        <v>15</v>
      </c>
      <c r="G3" t="s">
        <v>19</v>
      </c>
      <c r="H3">
        <v>1000</v>
      </c>
      <c r="I3">
        <v>20</v>
      </c>
    </row>
    <row r="4" spans="1:9" x14ac:dyDescent="0.25">
      <c r="A4" t="s">
        <v>20</v>
      </c>
      <c r="B4" t="s">
        <v>7</v>
      </c>
      <c r="C4" s="21">
        <v>500</v>
      </c>
      <c r="D4" s="21">
        <v>300</v>
      </c>
      <c r="E4" s="21">
        <v>5</v>
      </c>
      <c r="F4">
        <v>10</v>
      </c>
      <c r="G4" t="s">
        <v>21</v>
      </c>
      <c r="H4">
        <v>1550</v>
      </c>
      <c r="I4">
        <v>60</v>
      </c>
    </row>
    <row r="5" spans="1:9" x14ac:dyDescent="0.25">
      <c r="A5" t="s">
        <v>22</v>
      </c>
      <c r="B5" t="s">
        <v>9</v>
      </c>
      <c r="C5" s="21">
        <v>500</v>
      </c>
      <c r="D5" s="21">
        <v>250</v>
      </c>
      <c r="E5" s="21">
        <v>4</v>
      </c>
      <c r="F5">
        <v>14</v>
      </c>
      <c r="G5" t="s">
        <v>21</v>
      </c>
      <c r="H5">
        <v>1590</v>
      </c>
      <c r="I5">
        <v>35</v>
      </c>
    </row>
    <row r="6" spans="1:9" x14ac:dyDescent="0.25">
      <c r="A6" t="s">
        <v>23</v>
      </c>
      <c r="B6" t="s">
        <v>10</v>
      </c>
      <c r="C6" s="21">
        <v>500</v>
      </c>
      <c r="D6" s="21">
        <v>300</v>
      </c>
      <c r="E6" s="21">
        <v>5</v>
      </c>
      <c r="F6">
        <v>15</v>
      </c>
      <c r="G6" t="s">
        <v>19</v>
      </c>
      <c r="H6">
        <v>1600</v>
      </c>
      <c r="I6">
        <v>15</v>
      </c>
    </row>
    <row r="7" spans="1:9" x14ac:dyDescent="0.25">
      <c r="A7" t="s">
        <v>24</v>
      </c>
      <c r="B7" t="s">
        <v>11</v>
      </c>
      <c r="C7" s="21">
        <v>500</v>
      </c>
      <c r="D7" s="21">
        <v>290</v>
      </c>
      <c r="E7" s="21">
        <v>5</v>
      </c>
      <c r="F7">
        <v>13</v>
      </c>
      <c r="G7" t="s">
        <v>21</v>
      </c>
      <c r="H7">
        <v>1610</v>
      </c>
      <c r="I7">
        <v>22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03C4-2BBC-48E1-83A9-7E7395950FA2}">
  <dimension ref="A1:I7"/>
  <sheetViews>
    <sheetView zoomScale="85" workbookViewId="0">
      <selection activeCell="B27" sqref="B27"/>
    </sheetView>
  </sheetViews>
  <sheetFormatPr defaultRowHeight="15" x14ac:dyDescent="0.25"/>
  <cols>
    <col min="1" max="1" width="24.85546875" customWidth="1"/>
    <col min="2" max="2" width="15.5703125" customWidth="1"/>
    <col min="3" max="3" width="23.140625" customWidth="1"/>
    <col min="4" max="4" width="23.7109375" customWidth="1"/>
    <col min="5" max="6" width="28.140625" customWidth="1"/>
    <col min="7" max="7" width="29.7109375" customWidth="1"/>
    <col min="8" max="8" width="18.85546875" customWidth="1"/>
    <col min="9" max="9" width="17.28515625" bestFit="1" customWidth="1"/>
  </cols>
  <sheetData>
    <row r="1" spans="1:9" ht="38.25" customHeight="1" x14ac:dyDescent="0.25">
      <c r="A1" s="2" t="s">
        <v>26</v>
      </c>
      <c r="B1" s="2" t="s">
        <v>12</v>
      </c>
      <c r="C1" s="2" t="s">
        <v>27</v>
      </c>
      <c r="D1" s="2" t="s">
        <v>28</v>
      </c>
      <c r="E1" s="2" t="s">
        <v>29</v>
      </c>
      <c r="F1" s="2" t="s">
        <v>51</v>
      </c>
      <c r="G1" s="2" t="s">
        <v>30</v>
      </c>
      <c r="H1" s="2" t="s">
        <v>31</v>
      </c>
      <c r="I1" s="2" t="s">
        <v>62</v>
      </c>
    </row>
    <row r="2" spans="1:9" x14ac:dyDescent="0.25">
      <c r="A2" t="s">
        <v>32</v>
      </c>
      <c r="B2" t="s">
        <v>18</v>
      </c>
      <c r="C2" t="s">
        <v>46</v>
      </c>
      <c r="D2" s="1">
        <v>46222.395833333336</v>
      </c>
      <c r="E2">
        <v>1500</v>
      </c>
      <c r="F2">
        <v>100</v>
      </c>
      <c r="G2">
        <v>30</v>
      </c>
      <c r="H2" t="s">
        <v>33</v>
      </c>
      <c r="I2" t="s">
        <v>63</v>
      </c>
    </row>
    <row r="3" spans="1:9" x14ac:dyDescent="0.25">
      <c r="A3" t="s">
        <v>34</v>
      </c>
      <c r="B3" t="s">
        <v>18</v>
      </c>
      <c r="C3" t="s">
        <v>47</v>
      </c>
      <c r="D3" s="1">
        <v>46222.458333333336</v>
      </c>
      <c r="E3">
        <v>500</v>
      </c>
      <c r="F3">
        <v>200</v>
      </c>
      <c r="G3">
        <v>32</v>
      </c>
      <c r="H3" t="s">
        <v>35</v>
      </c>
      <c r="I3" t="s">
        <v>64</v>
      </c>
    </row>
    <row r="4" spans="1:9" x14ac:dyDescent="0.25">
      <c r="A4" t="s">
        <v>36</v>
      </c>
      <c r="B4" t="s">
        <v>20</v>
      </c>
      <c r="C4" t="s">
        <v>46</v>
      </c>
      <c r="D4" s="1">
        <v>46222.53125</v>
      </c>
      <c r="E4">
        <v>1000</v>
      </c>
      <c r="F4">
        <v>500</v>
      </c>
      <c r="G4">
        <v>29</v>
      </c>
      <c r="H4" t="s">
        <v>33</v>
      </c>
      <c r="I4" t="s">
        <v>64</v>
      </c>
    </row>
    <row r="5" spans="1:9" x14ac:dyDescent="0.25">
      <c r="A5" t="s">
        <v>37</v>
      </c>
      <c r="B5" t="s">
        <v>20</v>
      </c>
      <c r="C5" t="s">
        <v>47</v>
      </c>
      <c r="D5" s="1">
        <v>46222.618055555555</v>
      </c>
      <c r="E5">
        <v>2000</v>
      </c>
      <c r="F5">
        <v>100</v>
      </c>
      <c r="G5">
        <v>30</v>
      </c>
      <c r="H5" t="s">
        <v>33</v>
      </c>
      <c r="I5" t="s">
        <v>64</v>
      </c>
    </row>
    <row r="6" spans="1:9" x14ac:dyDescent="0.25">
      <c r="A6" t="s">
        <v>38</v>
      </c>
      <c r="B6" t="s">
        <v>24</v>
      </c>
      <c r="C6" t="s">
        <v>47</v>
      </c>
      <c r="D6" s="1">
        <v>46222.6875</v>
      </c>
      <c r="E6">
        <v>1580</v>
      </c>
      <c r="F6">
        <v>100</v>
      </c>
      <c r="G6">
        <v>31</v>
      </c>
      <c r="H6" t="s">
        <v>35</v>
      </c>
      <c r="I6" t="s">
        <v>63</v>
      </c>
    </row>
    <row r="7" spans="1:9" x14ac:dyDescent="0.25">
      <c r="A7" t="s">
        <v>39</v>
      </c>
      <c r="B7" t="s">
        <v>25</v>
      </c>
      <c r="C7" t="s">
        <v>46</v>
      </c>
      <c r="D7" s="1">
        <v>46222.75</v>
      </c>
      <c r="E7">
        <v>1550</v>
      </c>
      <c r="F7">
        <v>50</v>
      </c>
      <c r="G7">
        <v>31</v>
      </c>
      <c r="H7" t="s">
        <v>33</v>
      </c>
      <c r="I7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0FFB-C16F-4BB9-8B6D-AF377332784C}">
  <dimension ref="A1:Y25"/>
  <sheetViews>
    <sheetView workbookViewId="0">
      <selection activeCell="A21" sqref="A21"/>
    </sheetView>
  </sheetViews>
  <sheetFormatPr defaultRowHeight="15" x14ac:dyDescent="0.25"/>
  <cols>
    <col min="1" max="1" width="18.42578125" bestFit="1" customWidth="1"/>
    <col min="2" max="2" width="24.28515625" bestFit="1" customWidth="1"/>
    <col min="3" max="4" width="10.7109375" bestFit="1" customWidth="1"/>
    <col min="5" max="5" width="18.42578125" bestFit="1" customWidth="1"/>
    <col min="6" max="6" width="31.5703125" bestFit="1" customWidth="1"/>
    <col min="7" max="7" width="34.7109375" bestFit="1" customWidth="1"/>
    <col min="8" max="8" width="15.7109375" customWidth="1"/>
    <col min="9" max="9" width="18.42578125" bestFit="1" customWidth="1"/>
    <col min="10" max="10" width="34" bestFit="1" customWidth="1"/>
    <col min="11" max="11" width="30.140625" bestFit="1" customWidth="1"/>
    <col min="12" max="12" width="26.7109375" bestFit="1" customWidth="1"/>
    <col min="13" max="13" width="11.28515625" customWidth="1"/>
    <col min="14" max="14" width="18.42578125" bestFit="1" customWidth="1"/>
    <col min="15" max="15" width="40.85546875" bestFit="1" customWidth="1"/>
    <col min="16" max="16" width="42.28515625" bestFit="1" customWidth="1"/>
    <col min="17" max="17" width="25.140625" customWidth="1"/>
    <col min="18" max="18" width="18.42578125" bestFit="1" customWidth="1"/>
    <col min="19" max="19" width="35" bestFit="1" customWidth="1"/>
    <col min="20" max="20" width="35.28515625" bestFit="1" customWidth="1"/>
    <col min="21" max="21" width="5.42578125" customWidth="1"/>
    <col min="22" max="22" width="36.5703125" bestFit="1" customWidth="1"/>
    <col min="23" max="23" width="20.5703125" bestFit="1" customWidth="1"/>
    <col min="24" max="24" width="17" bestFit="1" customWidth="1"/>
    <col min="25" max="26" width="10.7109375" bestFit="1" customWidth="1"/>
  </cols>
  <sheetData>
    <row r="1" spans="1:25" x14ac:dyDescent="0.25">
      <c r="A1" s="14" t="s">
        <v>40</v>
      </c>
      <c r="B1" t="s">
        <v>43</v>
      </c>
      <c r="C1" t="s">
        <v>44</v>
      </c>
      <c r="E1" s="14" t="s">
        <v>40</v>
      </c>
      <c r="F1" t="s">
        <v>55</v>
      </c>
      <c r="G1" t="s">
        <v>54</v>
      </c>
      <c r="I1" s="14" t="s">
        <v>40</v>
      </c>
      <c r="J1" t="s">
        <v>57</v>
      </c>
      <c r="K1" t="s">
        <v>58</v>
      </c>
      <c r="L1" t="s">
        <v>59</v>
      </c>
      <c r="N1" s="14" t="s">
        <v>40</v>
      </c>
      <c r="O1" t="s">
        <v>60</v>
      </c>
      <c r="P1" t="s">
        <v>61</v>
      </c>
      <c r="R1" s="14" t="s">
        <v>40</v>
      </c>
      <c r="S1" t="s">
        <v>42</v>
      </c>
      <c r="T1" t="s">
        <v>65</v>
      </c>
      <c r="V1" s="14" t="s">
        <v>56</v>
      </c>
      <c r="W1" s="14" t="s">
        <v>53</v>
      </c>
    </row>
    <row r="2" spans="1:25" x14ac:dyDescent="0.25">
      <c r="A2" s="15" t="s">
        <v>5</v>
      </c>
      <c r="B2" s="16">
        <v>6.2E-2</v>
      </c>
      <c r="C2" s="16">
        <v>1.0999999999999999E-2</v>
      </c>
      <c r="D2" s="16"/>
      <c r="E2" s="15" t="s">
        <v>5</v>
      </c>
      <c r="F2" s="16">
        <v>2.399</v>
      </c>
      <c r="G2" s="16">
        <v>1E-3</v>
      </c>
      <c r="I2" s="15" t="s">
        <v>18</v>
      </c>
      <c r="J2" s="21">
        <v>500</v>
      </c>
      <c r="K2" s="21">
        <v>300</v>
      </c>
      <c r="L2" s="21">
        <v>5</v>
      </c>
      <c r="N2" s="15" t="s">
        <v>21</v>
      </c>
      <c r="O2" s="16">
        <v>4750</v>
      </c>
      <c r="P2" s="16">
        <v>117</v>
      </c>
      <c r="R2" s="15" t="s">
        <v>32</v>
      </c>
      <c r="S2" s="16">
        <v>1500</v>
      </c>
      <c r="T2" s="16">
        <v>100</v>
      </c>
      <c r="V2" s="14" t="s">
        <v>40</v>
      </c>
      <c r="W2" t="s">
        <v>47</v>
      </c>
      <c r="X2" t="s">
        <v>46</v>
      </c>
      <c r="Y2" t="s">
        <v>41</v>
      </c>
    </row>
    <row r="3" spans="1:25" x14ac:dyDescent="0.25">
      <c r="A3" s="15" t="s">
        <v>7</v>
      </c>
      <c r="B3" s="16">
        <v>7.8E-2</v>
      </c>
      <c r="C3" s="16">
        <v>2.1000000000000001E-2</v>
      </c>
      <c r="D3" s="16"/>
      <c r="E3" s="15" t="s">
        <v>7</v>
      </c>
      <c r="F3" s="16">
        <v>0</v>
      </c>
      <c r="G3" s="16">
        <v>2.4500000000000002</v>
      </c>
      <c r="I3" s="15" t="s">
        <v>20</v>
      </c>
      <c r="J3" s="21">
        <v>500</v>
      </c>
      <c r="K3" s="21">
        <v>280</v>
      </c>
      <c r="L3" s="21">
        <v>5</v>
      </c>
      <c r="N3" s="15" t="s">
        <v>19</v>
      </c>
      <c r="O3" s="16">
        <v>4600</v>
      </c>
      <c r="P3" s="16">
        <v>80</v>
      </c>
      <c r="R3" s="15" t="s">
        <v>34</v>
      </c>
      <c r="S3" s="16">
        <v>500</v>
      </c>
      <c r="T3" s="16">
        <v>200</v>
      </c>
      <c r="V3" s="15" t="s">
        <v>64</v>
      </c>
      <c r="W3" s="16">
        <v>62</v>
      </c>
      <c r="X3" s="16">
        <v>29</v>
      </c>
      <c r="Y3" s="16">
        <v>91</v>
      </c>
    </row>
    <row r="4" spans="1:25" x14ac:dyDescent="0.25">
      <c r="A4" s="15" t="s">
        <v>9</v>
      </c>
      <c r="B4" s="16">
        <v>5.8999999999999997E-2</v>
      </c>
      <c r="C4" s="16">
        <v>8.9999999999999993E-3</v>
      </c>
      <c r="D4" s="16"/>
      <c r="E4" s="15" t="s">
        <v>9</v>
      </c>
      <c r="F4" s="16">
        <v>1.4900000000000002</v>
      </c>
      <c r="G4" s="16">
        <v>1</v>
      </c>
      <c r="I4" s="15" t="s">
        <v>22</v>
      </c>
      <c r="J4" s="21">
        <v>500</v>
      </c>
      <c r="K4" s="21">
        <v>300</v>
      </c>
      <c r="L4" s="21">
        <v>5</v>
      </c>
      <c r="N4" s="15" t="s">
        <v>41</v>
      </c>
      <c r="O4" s="16">
        <v>9350</v>
      </c>
      <c r="P4" s="16">
        <v>197</v>
      </c>
      <c r="R4" s="15" t="s">
        <v>37</v>
      </c>
      <c r="S4" s="16">
        <v>2000</v>
      </c>
      <c r="T4" s="16">
        <v>100</v>
      </c>
      <c r="V4" s="15" t="s">
        <v>63</v>
      </c>
      <c r="W4" s="16">
        <v>31</v>
      </c>
      <c r="X4" s="16">
        <v>61</v>
      </c>
      <c r="Y4" s="16">
        <v>92</v>
      </c>
    </row>
    <row r="5" spans="1:25" x14ac:dyDescent="0.25">
      <c r="A5" s="15" t="s">
        <v>10</v>
      </c>
      <c r="B5" s="16">
        <v>6.5000000000000002E-2</v>
      </c>
      <c r="C5" s="16">
        <v>1.2999999999999999E-2</v>
      </c>
      <c r="D5" s="16"/>
      <c r="E5" s="15" t="s">
        <v>10</v>
      </c>
      <c r="F5" s="16">
        <v>2.2999999999999998</v>
      </c>
      <c r="G5" s="16">
        <v>0</v>
      </c>
      <c r="I5" s="15" t="s">
        <v>23</v>
      </c>
      <c r="J5" s="21">
        <v>500</v>
      </c>
      <c r="K5" s="21">
        <v>250</v>
      </c>
      <c r="L5" s="21">
        <v>4</v>
      </c>
      <c r="R5" s="15" t="s">
        <v>38</v>
      </c>
      <c r="S5" s="16">
        <v>1580</v>
      </c>
      <c r="T5" s="16">
        <v>100</v>
      </c>
      <c r="V5" s="15" t="s">
        <v>41</v>
      </c>
      <c r="W5" s="16">
        <v>93</v>
      </c>
      <c r="X5" s="16">
        <v>90</v>
      </c>
      <c r="Y5" s="16">
        <v>183</v>
      </c>
    </row>
    <row r="6" spans="1:25" x14ac:dyDescent="0.25">
      <c r="A6" s="15" t="s">
        <v>11</v>
      </c>
      <c r="B6" s="16">
        <v>7.0999999999999994E-2</v>
      </c>
      <c r="C6" s="16">
        <v>1.7000000000000001E-2</v>
      </c>
      <c r="D6" s="16"/>
      <c r="E6" s="15" t="s">
        <v>11</v>
      </c>
      <c r="F6" s="16">
        <v>2.3780000000000001</v>
      </c>
      <c r="G6" s="16">
        <v>2E-3</v>
      </c>
      <c r="I6" s="15" t="s">
        <v>24</v>
      </c>
      <c r="J6" s="21">
        <v>500</v>
      </c>
      <c r="K6" s="21">
        <v>300</v>
      </c>
      <c r="L6" s="21">
        <v>5</v>
      </c>
      <c r="R6" s="15" t="s">
        <v>39</v>
      </c>
      <c r="S6" s="16">
        <v>1550</v>
      </c>
      <c r="T6" s="16">
        <v>50</v>
      </c>
    </row>
    <row r="7" spans="1:25" x14ac:dyDescent="0.25">
      <c r="A7" s="15" t="s">
        <v>66</v>
      </c>
      <c r="B7" s="16">
        <v>6.2E-2</v>
      </c>
      <c r="C7" s="16">
        <v>1.0999999999999999E-2</v>
      </c>
      <c r="D7" s="16"/>
      <c r="E7" s="15" t="s">
        <v>66</v>
      </c>
      <c r="F7" s="16">
        <v>2.399</v>
      </c>
      <c r="G7" s="16">
        <v>1E-3</v>
      </c>
      <c r="I7" s="15" t="s">
        <v>25</v>
      </c>
      <c r="J7" s="21">
        <v>500</v>
      </c>
      <c r="K7" s="21">
        <v>290</v>
      </c>
      <c r="L7" s="21">
        <v>5</v>
      </c>
      <c r="R7" s="15" t="s">
        <v>36</v>
      </c>
      <c r="S7" s="16">
        <v>1000</v>
      </c>
      <c r="T7" s="16">
        <v>500</v>
      </c>
    </row>
    <row r="8" spans="1:25" x14ac:dyDescent="0.25">
      <c r="A8" s="15" t="s">
        <v>67</v>
      </c>
      <c r="B8" s="16">
        <v>7.8E-2</v>
      </c>
      <c r="C8" s="16">
        <v>2.1000000000000001E-2</v>
      </c>
      <c r="D8" s="16"/>
      <c r="E8" s="15" t="s">
        <v>67</v>
      </c>
      <c r="F8" s="16">
        <v>0</v>
      </c>
      <c r="G8" s="16">
        <v>2.4500000000000002</v>
      </c>
      <c r="I8" s="15" t="s">
        <v>41</v>
      </c>
      <c r="J8" s="21">
        <v>3000</v>
      </c>
      <c r="K8" s="21">
        <v>1720</v>
      </c>
      <c r="L8" s="21">
        <v>29</v>
      </c>
      <c r="R8" s="15" t="s">
        <v>41</v>
      </c>
      <c r="S8" s="16">
        <v>8130</v>
      </c>
      <c r="T8" s="16">
        <v>1050</v>
      </c>
      <c r="V8" s="5"/>
      <c r="W8" s="6"/>
      <c r="X8" s="7"/>
    </row>
    <row r="9" spans="1:25" x14ac:dyDescent="0.25">
      <c r="A9" s="15" t="s">
        <v>68</v>
      </c>
      <c r="B9" s="16">
        <v>5.8999999999999997E-2</v>
      </c>
      <c r="C9" s="16">
        <v>8.9999999999999993E-3</v>
      </c>
      <c r="D9" s="16"/>
      <c r="E9" s="15" t="s">
        <v>68</v>
      </c>
      <c r="F9" s="16">
        <v>1.4900000000000002</v>
      </c>
      <c r="G9" s="16">
        <v>1</v>
      </c>
      <c r="V9" s="8"/>
      <c r="W9" s="9"/>
      <c r="X9" s="10"/>
    </row>
    <row r="10" spans="1:25" x14ac:dyDescent="0.25">
      <c r="A10" s="15" t="s">
        <v>69</v>
      </c>
      <c r="B10" s="16">
        <v>6.5000000000000002E-2</v>
      </c>
      <c r="C10" s="16">
        <v>1.2999999999999999E-2</v>
      </c>
      <c r="E10" s="15" t="s">
        <v>69</v>
      </c>
      <c r="F10" s="16">
        <v>2.2999999999999998</v>
      </c>
      <c r="G10" s="16">
        <v>0</v>
      </c>
      <c r="V10" s="8"/>
      <c r="W10" s="9"/>
      <c r="X10" s="10"/>
    </row>
    <row r="11" spans="1:25" x14ac:dyDescent="0.25">
      <c r="A11" s="15" t="s">
        <v>70</v>
      </c>
      <c r="B11" s="16">
        <v>7.0999999999999994E-2</v>
      </c>
      <c r="C11" s="16">
        <v>1.7000000000000001E-2</v>
      </c>
      <c r="E11" s="15" t="s">
        <v>70</v>
      </c>
      <c r="F11" s="16">
        <v>2.3780000000000001</v>
      </c>
      <c r="G11" s="16">
        <v>2E-3</v>
      </c>
      <c r="V11" s="8"/>
      <c r="W11" s="9"/>
      <c r="X11" s="10"/>
    </row>
    <row r="12" spans="1:25" x14ac:dyDescent="0.25">
      <c r="A12" s="15" t="s">
        <v>71</v>
      </c>
      <c r="B12" s="16">
        <v>6.2E-2</v>
      </c>
      <c r="C12" s="16">
        <v>1.0999999999999999E-2</v>
      </c>
      <c r="E12" s="15" t="s">
        <v>71</v>
      </c>
      <c r="F12" s="16">
        <v>2.399</v>
      </c>
      <c r="G12" s="16">
        <v>1E-3</v>
      </c>
      <c r="V12" s="8"/>
      <c r="W12" s="9"/>
      <c r="X12" s="10"/>
    </row>
    <row r="13" spans="1:25" x14ac:dyDescent="0.25">
      <c r="A13" s="15" t="s">
        <v>72</v>
      </c>
      <c r="B13" s="16">
        <v>7.8E-2</v>
      </c>
      <c r="C13" s="16">
        <v>2.1000000000000001E-2</v>
      </c>
      <c r="D13" s="16"/>
      <c r="E13" s="15" t="s">
        <v>72</v>
      </c>
      <c r="F13" s="16">
        <v>0</v>
      </c>
      <c r="G13" s="16">
        <v>2.4500000000000002</v>
      </c>
      <c r="V13" s="8"/>
      <c r="W13" s="9"/>
      <c r="X13" s="10"/>
    </row>
    <row r="14" spans="1:25" x14ac:dyDescent="0.25">
      <c r="A14" s="15" t="s">
        <v>73</v>
      </c>
      <c r="B14" s="16">
        <v>5.8999999999999997E-2</v>
      </c>
      <c r="C14" s="16">
        <v>8.9999999999999993E-3</v>
      </c>
      <c r="D14" s="16"/>
      <c r="E14" s="15" t="s">
        <v>73</v>
      </c>
      <c r="F14" s="16">
        <v>1.4900000000000002</v>
      </c>
      <c r="G14" s="16">
        <v>1</v>
      </c>
      <c r="V14" s="8"/>
      <c r="W14" s="9"/>
      <c r="X14" s="10"/>
    </row>
    <row r="15" spans="1:25" x14ac:dyDescent="0.25">
      <c r="A15" s="15" t="s">
        <v>74</v>
      </c>
      <c r="B15" s="16">
        <v>6.5000000000000002E-2</v>
      </c>
      <c r="C15" s="16">
        <v>1.2999999999999999E-2</v>
      </c>
      <c r="D15" s="16"/>
      <c r="E15" s="15" t="s">
        <v>74</v>
      </c>
      <c r="F15" s="16">
        <v>2.2999999999999998</v>
      </c>
      <c r="G15" s="16">
        <v>0</v>
      </c>
      <c r="V15" s="8"/>
      <c r="W15" s="9"/>
      <c r="X15" s="10"/>
    </row>
    <row r="16" spans="1:25" x14ac:dyDescent="0.25">
      <c r="A16" s="15" t="s">
        <v>75</v>
      </c>
      <c r="B16" s="16">
        <v>7.0999999999999994E-2</v>
      </c>
      <c r="C16" s="16">
        <v>1.7000000000000001E-2</v>
      </c>
      <c r="D16" s="16"/>
      <c r="E16" s="15" t="s">
        <v>75</v>
      </c>
      <c r="F16" s="16">
        <v>2.3780000000000001</v>
      </c>
      <c r="G16" s="16">
        <v>2E-3</v>
      </c>
      <c r="V16" s="8"/>
      <c r="W16" s="9"/>
      <c r="X16" s="10"/>
    </row>
    <row r="17" spans="1:24" x14ac:dyDescent="0.25">
      <c r="A17" s="15" t="s">
        <v>41</v>
      </c>
      <c r="B17" s="16">
        <v>6.699999999999999E-2</v>
      </c>
      <c r="C17" s="16">
        <v>1.4200000000000001E-2</v>
      </c>
      <c r="D17" s="16"/>
      <c r="E17" s="15" t="s">
        <v>41</v>
      </c>
      <c r="F17" s="16">
        <v>25.701000000000004</v>
      </c>
      <c r="G17" s="16">
        <v>10.359</v>
      </c>
      <c r="V17" s="8"/>
      <c r="W17" s="9"/>
      <c r="X17" s="10"/>
    </row>
    <row r="18" spans="1:24" x14ac:dyDescent="0.25">
      <c r="D18" s="16"/>
      <c r="E18" s="16"/>
      <c r="F18" s="16"/>
      <c r="G18" s="16"/>
      <c r="V18" s="8"/>
      <c r="W18" s="9"/>
      <c r="X18" s="10"/>
    </row>
    <row r="19" spans="1:24" x14ac:dyDescent="0.25">
      <c r="D19" s="16"/>
      <c r="E19" s="16"/>
      <c r="F19" s="16"/>
      <c r="G19" s="16"/>
      <c r="V19" s="8"/>
      <c r="W19" s="9"/>
      <c r="X19" s="10"/>
    </row>
    <row r="20" spans="1:24" x14ac:dyDescent="0.25">
      <c r="A20" s="14" t="s">
        <v>40</v>
      </c>
      <c r="B20" t="s">
        <v>76</v>
      </c>
      <c r="E20" s="16"/>
      <c r="F20" s="16"/>
      <c r="G20" s="16"/>
      <c r="V20" s="8"/>
      <c r="W20" s="9"/>
      <c r="X20" s="10"/>
    </row>
    <row r="21" spans="1:24" x14ac:dyDescent="0.25">
      <c r="A21" s="15" t="s">
        <v>6</v>
      </c>
      <c r="B21" s="16">
        <v>12</v>
      </c>
      <c r="V21" s="8"/>
      <c r="W21" s="9"/>
      <c r="X21" s="10"/>
    </row>
    <row r="22" spans="1:24" x14ac:dyDescent="0.25">
      <c r="A22" s="15" t="s">
        <v>8</v>
      </c>
      <c r="B22" s="16">
        <v>3</v>
      </c>
      <c r="V22" s="8"/>
      <c r="W22" s="9"/>
      <c r="X22" s="10"/>
    </row>
    <row r="23" spans="1:24" x14ac:dyDescent="0.25">
      <c r="A23" s="15" t="s">
        <v>41</v>
      </c>
      <c r="B23" s="16">
        <v>15</v>
      </c>
      <c r="V23" s="8"/>
      <c r="W23" s="9"/>
      <c r="X23" s="10"/>
    </row>
    <row r="24" spans="1:24" x14ac:dyDescent="0.25">
      <c r="V24" s="8"/>
      <c r="W24" s="9"/>
      <c r="X24" s="10"/>
    </row>
    <row r="25" spans="1:24" x14ac:dyDescent="0.25">
      <c r="V25" s="11"/>
      <c r="W25" s="12"/>
      <c r="X25" s="1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91D271-6C3D-43B0-B70B-2319848989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GR_MP</vt:lpstr>
      <vt:lpstr>GR_REC</vt:lpstr>
      <vt:lpstr>GR_EMB</vt:lpstr>
      <vt:lpstr>LOTES_MP</vt:lpstr>
      <vt:lpstr>COMPOSICAO_RECEITA</vt:lpstr>
      <vt:lpstr>LOTES_EMBALADOS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scarcegnu@gmail.com</dc:creator>
  <cp:lastModifiedBy>scarcegnu@gmail.com</cp:lastModifiedBy>
  <dcterms:created xsi:type="dcterms:W3CDTF">2026-07-20T01:36:42Z</dcterms:created>
  <dcterms:modified xsi:type="dcterms:W3CDTF">2026-07-22T02:19:20Z</dcterms:modified>
</cp:coreProperties>
</file>